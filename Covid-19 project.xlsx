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56e65f1c2084950/Desktop/Excel Career247/"/>
    </mc:Choice>
  </mc:AlternateContent>
  <xr:revisionPtr revIDLastSave="14" documentId="13_ncr:1_{EDFD7D53-4A78-4363-9738-0EB911BC5FE7}" xr6:coauthVersionLast="47" xr6:coauthVersionMax="47" xr10:uidLastSave="{33D7FB3C-51F5-4625-96A7-10B9ADDA372D}"/>
  <bookViews>
    <workbookView xWindow="-110" yWindow="-110" windowWidth="19420" windowHeight="10300" activeTab="1" xr2:uid="{FF6CB653-6220-46B0-810F-8784E2C55212}"/>
  </bookViews>
  <sheets>
    <sheet name="data" sheetId="1" r:id="rId1"/>
    <sheet name="solved " sheetId="2" r:id="rId2"/>
    <sheet name="column chart" sheetId="6" r:id="rId3"/>
    <sheet name="line chart" sheetId="7" r:id="rId4"/>
    <sheet name="pie chart" sheetId="8" r:id="rId5"/>
    <sheet name="combo chart" sheetId="9" r:id="rId6"/>
    <sheet name="hlookup" sheetId="10" r:id="rId7"/>
    <sheet name="questions" sheetId="11" r:id="rId8"/>
  </sheets>
  <definedNames>
    <definedName name="_xlnm._FilterDatabase" localSheetId="1" hidden="1">'solved '!$A$1:$N$188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0" l="1"/>
  <c r="FU13" i="10" a="1"/>
  <c r="FU13" i="10" s="1"/>
  <c r="FK13" i="10" a="1"/>
  <c r="FK13" i="10" s="1"/>
  <c r="EY13" i="10" a="1"/>
  <c r="EY13" i="10" s="1"/>
  <c r="ES13" i="10" a="1"/>
  <c r="ES13" i="10" s="1"/>
  <c r="ER13" i="10" a="1"/>
  <c r="ER13" i="10" s="1"/>
  <c r="DY13" i="10" a="1"/>
  <c r="DY13" i="10" s="1"/>
  <c r="DO13" i="10" a="1"/>
  <c r="DO13" i="10" s="1"/>
  <c r="DC13" i="10" a="1"/>
  <c r="DC13" i="10" s="1"/>
  <c r="DA13" i="10" a="1"/>
  <c r="DA13" i="10" s="1"/>
  <c r="CD13" i="10" a="1"/>
  <c r="CD13" i="10" s="1"/>
  <c r="CC13" i="10" a="1"/>
  <c r="CC13" i="10" s="1"/>
  <c r="BQ13" i="10" a="1"/>
  <c r="BQ13" i="10" s="1"/>
  <c r="AI13" i="10" a="1"/>
  <c r="AI13" i="10" s="1"/>
  <c r="AH13" i="10" a="1"/>
  <c r="AH13" i="10" s="1"/>
  <c r="S13" i="10" a="1"/>
  <c r="S13" i="10" s="1"/>
  <c r="Q13" i="10" a="1"/>
  <c r="Q13" i="10" s="1"/>
  <c r="J13" i="10" a="1"/>
  <c r="J13" i="10" s="1"/>
  <c r="B13" i="10" a="1"/>
  <c r="B13" i="10" s="1"/>
  <c r="GF12" i="10" a="1"/>
  <c r="GF12" i="10" s="1"/>
  <c r="GF13" i="10" s="1" a="1"/>
  <c r="GF13" i="10" s="1"/>
  <c r="GE12" i="10" a="1"/>
  <c r="GE12" i="10" s="1"/>
  <c r="GE13" i="10" s="1" a="1"/>
  <c r="GE13" i="10" s="1"/>
  <c r="FZ12" i="10" a="1"/>
  <c r="FZ12" i="10" s="1"/>
  <c r="FZ13" i="10" s="1" a="1"/>
  <c r="FZ13" i="10" s="1"/>
  <c r="FY12" i="10" a="1"/>
  <c r="FY12" i="10" s="1"/>
  <c r="FY13" i="10" s="1" a="1"/>
  <c r="FY13" i="10" s="1"/>
  <c r="FX12" i="10" a="1"/>
  <c r="FX12" i="10" s="1"/>
  <c r="FX13" i="10" s="1" a="1"/>
  <c r="FX13" i="10" s="1"/>
  <c r="FW12" i="10" a="1"/>
  <c r="FW12" i="10" s="1"/>
  <c r="FW13" i="10" s="1" a="1"/>
  <c r="FW13" i="10" s="1"/>
  <c r="FV12" i="10" a="1"/>
  <c r="FV12" i="10" s="1"/>
  <c r="FV13" i="10" s="1" a="1"/>
  <c r="FV13" i="10" s="1"/>
  <c r="FQ12" i="10" a="1"/>
  <c r="FQ12" i="10" s="1"/>
  <c r="FQ13" i="10" s="1" a="1"/>
  <c r="FQ13" i="10" s="1"/>
  <c r="FN12" i="10" a="1"/>
  <c r="FN12" i="10" s="1"/>
  <c r="FN13" i="10" s="1" a="1"/>
  <c r="FN13" i="10" s="1"/>
  <c r="FL12" i="10" a="1"/>
  <c r="FL12" i="10" s="1"/>
  <c r="FL13" i="10" s="1" a="1"/>
  <c r="FL13" i="10" s="1"/>
  <c r="FI12" i="10" a="1"/>
  <c r="FI12" i="10" s="1"/>
  <c r="FI13" i="10" s="1" a="1"/>
  <c r="FI13" i="10" s="1"/>
  <c r="FH12" i="10" a="1"/>
  <c r="FH12" i="10" s="1"/>
  <c r="FH13" i="10" s="1" a="1"/>
  <c r="FH13" i="10" s="1"/>
  <c r="FG12" i="10" a="1"/>
  <c r="FG12" i="10" s="1"/>
  <c r="FG13" i="10" s="1" a="1"/>
  <c r="FG13" i="10" s="1"/>
  <c r="FE12" i="10" a="1"/>
  <c r="FE12" i="10" s="1"/>
  <c r="FE13" i="10" s="1" a="1"/>
  <c r="FE13" i="10" s="1"/>
  <c r="FB12" i="10" a="1"/>
  <c r="FB12" i="10" s="1"/>
  <c r="FB13" i="10" s="1" a="1"/>
  <c r="FB13" i="10" s="1"/>
  <c r="FA12" i="10" a="1"/>
  <c r="FA12" i="10" s="1"/>
  <c r="FA13" i="10" s="1" a="1"/>
  <c r="FA13" i="10" s="1"/>
  <c r="EZ12" i="10" a="1"/>
  <c r="EZ12" i="10" s="1"/>
  <c r="EZ13" i="10" s="1" a="1"/>
  <c r="EZ13" i="10" s="1"/>
  <c r="EX12" i="10" a="1"/>
  <c r="EX12" i="10" s="1"/>
  <c r="EX13" i="10" s="1" a="1"/>
  <c r="EX13" i="10" s="1"/>
  <c r="EW12" i="10" a="1"/>
  <c r="EW12" i="10" s="1"/>
  <c r="EW13" i="10" s="1" a="1"/>
  <c r="EW13" i="10" s="1"/>
  <c r="EV12" i="10" a="1"/>
  <c r="EV12" i="10" s="1"/>
  <c r="EV13" i="10" s="1" a="1"/>
  <c r="EV13" i="10" s="1"/>
  <c r="EU12" i="10" a="1"/>
  <c r="EU12" i="10" s="1"/>
  <c r="EU13" i="10" s="1" a="1"/>
  <c r="EU13" i="10" s="1"/>
  <c r="EP12" i="10" a="1"/>
  <c r="EP12" i="10" s="1"/>
  <c r="EP13" i="10" s="1" a="1"/>
  <c r="EP13" i="10" s="1"/>
  <c r="EO12" i="10" a="1"/>
  <c r="EO12" i="10" s="1"/>
  <c r="EO13" i="10" s="1" a="1"/>
  <c r="EO13" i="10" s="1"/>
  <c r="EN12" i="10" a="1"/>
  <c r="EN12" i="10" s="1"/>
  <c r="EN13" i="10" s="1" a="1"/>
  <c r="EN13" i="10" s="1"/>
  <c r="EM12" i="10" a="1"/>
  <c r="EM12" i="10" s="1"/>
  <c r="EM13" i="10" s="1" a="1"/>
  <c r="EM13" i="10" s="1"/>
  <c r="EH12" i="10" a="1"/>
  <c r="EH12" i="10" s="1"/>
  <c r="EH13" i="10" s="1" a="1"/>
  <c r="EH13" i="10" s="1"/>
  <c r="EG12" i="10" a="1"/>
  <c r="EG12" i="10" s="1"/>
  <c r="EG13" i="10" s="1" a="1"/>
  <c r="EG13" i="10" s="1"/>
  <c r="ED12" i="10" a="1"/>
  <c r="ED12" i="10" s="1"/>
  <c r="ED13" i="10" s="1" a="1"/>
  <c r="ED13" i="10" s="1"/>
  <c r="EB12" i="10" a="1"/>
  <c r="EB12" i="10" s="1"/>
  <c r="EB13" i="10" s="1" a="1"/>
  <c r="EB13" i="10" s="1"/>
  <c r="EA12" i="10" a="1"/>
  <c r="EA12" i="10" s="1"/>
  <c r="EA13" i="10" s="1" a="1"/>
  <c r="EA13" i="10" s="1"/>
  <c r="DZ12" i="10" a="1"/>
  <c r="DZ12" i="10" s="1"/>
  <c r="DZ13" i="10" s="1" a="1"/>
  <c r="DZ13" i="10" s="1"/>
  <c r="DY12" i="10" a="1"/>
  <c r="DY12" i="10" s="1"/>
  <c r="DX12" i="10" a="1"/>
  <c r="DX12" i="10" s="1"/>
  <c r="DX13" i="10" s="1" a="1"/>
  <c r="DX13" i="10" s="1"/>
  <c r="DW12" i="10" a="1"/>
  <c r="DW12" i="10" s="1"/>
  <c r="DW13" i="10" s="1" a="1"/>
  <c r="DW13" i="10" s="1"/>
  <c r="DR12" i="10" a="1"/>
  <c r="DR12" i="10" s="1"/>
  <c r="DR13" i="10" s="1" a="1"/>
  <c r="DR13" i="10" s="1"/>
  <c r="DQ12" i="10" a="1"/>
  <c r="DQ12" i="10" s="1"/>
  <c r="DQ13" i="10" s="1" a="1"/>
  <c r="DQ13" i="10" s="1"/>
  <c r="DP12" i="10" a="1"/>
  <c r="DP12" i="10" s="1"/>
  <c r="DP13" i="10" s="1" a="1"/>
  <c r="DP13" i="10" s="1"/>
  <c r="DN12" i="10" a="1"/>
  <c r="DN12" i="10" s="1"/>
  <c r="DN13" i="10" s="1" a="1"/>
  <c r="DN13" i="10" s="1"/>
  <c r="DM12" i="10" a="1"/>
  <c r="DM12" i="10" s="1"/>
  <c r="DM13" i="10" s="1" a="1"/>
  <c r="DM13" i="10" s="1"/>
  <c r="DL12" i="10" a="1"/>
  <c r="DL12" i="10" s="1"/>
  <c r="DL13" i="10" s="1" a="1"/>
  <c r="DL13" i="10" s="1"/>
  <c r="DF12" i="10" a="1"/>
  <c r="DF12" i="10" s="1"/>
  <c r="DF13" i="10" s="1" a="1"/>
  <c r="DF13" i="10" s="1"/>
  <c r="DE12" i="10" a="1"/>
  <c r="DE12" i="10" s="1"/>
  <c r="DE13" i="10" s="1" a="1"/>
  <c r="DE13" i="10" s="1"/>
  <c r="DD12" i="10" a="1"/>
  <c r="DD12" i="10" s="1"/>
  <c r="DD13" i="10" s="1" a="1"/>
  <c r="DD13" i="10" s="1"/>
  <c r="CY12" i="10" a="1"/>
  <c r="CY12" i="10" s="1"/>
  <c r="CY13" i="10" s="1" a="1"/>
  <c r="CY13" i="10" s="1"/>
  <c r="CX12" i="10" a="1"/>
  <c r="CX12" i="10" s="1"/>
  <c r="CX13" i="10" s="1" a="1"/>
  <c r="CX13" i="10" s="1"/>
  <c r="CT12" i="10" a="1"/>
  <c r="CT12" i="10" s="1"/>
  <c r="CT13" i="10" s="1" a="1"/>
  <c r="CT13" i="10" s="1"/>
  <c r="CR12" i="10" a="1"/>
  <c r="CR12" i="10" s="1"/>
  <c r="CR13" i="10" s="1" a="1"/>
  <c r="CR13" i="10" s="1"/>
  <c r="CQ12" i="10" a="1"/>
  <c r="CQ12" i="10" s="1"/>
  <c r="CQ13" i="10" s="1" a="1"/>
  <c r="CQ13" i="10" s="1"/>
  <c r="CP12" i="10" a="1"/>
  <c r="CP12" i="10" s="1"/>
  <c r="CP13" i="10" s="1" a="1"/>
  <c r="CP13" i="10" s="1"/>
  <c r="CO12" i="10" a="1"/>
  <c r="CO12" i="10" s="1"/>
  <c r="CO13" i="10" s="1" a="1"/>
  <c r="CO13" i="10" s="1"/>
  <c r="CN12" i="10" a="1"/>
  <c r="CN12" i="10" s="1"/>
  <c r="CN13" i="10" s="1" a="1"/>
  <c r="CN13" i="10" s="1"/>
  <c r="CH12" i="10" a="1"/>
  <c r="CH12" i="10" s="1"/>
  <c r="CH13" i="10" s="1" a="1"/>
  <c r="CH13" i="10" s="1"/>
  <c r="CG12" i="10" a="1"/>
  <c r="CG12" i="10" s="1"/>
  <c r="CG13" i="10" s="1" a="1"/>
  <c r="CG13" i="10" s="1"/>
  <c r="CF12" i="10" a="1"/>
  <c r="CF12" i="10" s="1"/>
  <c r="CF13" i="10" s="1" a="1"/>
  <c r="CF13" i="10" s="1"/>
  <c r="CE12" i="10" a="1"/>
  <c r="CE12" i="10" s="1"/>
  <c r="CE13" i="10" s="1" a="1"/>
  <c r="CE13" i="10" s="1"/>
  <c r="CA12" i="10" a="1"/>
  <c r="CA12" i="10" s="1"/>
  <c r="CA13" i="10" s="1" a="1"/>
  <c r="CA13" i="10" s="1"/>
  <c r="BV12" i="10" a="1"/>
  <c r="BV12" i="10" s="1"/>
  <c r="BV13" i="10" s="1" a="1"/>
  <c r="BV13" i="10" s="1"/>
  <c r="BU12" i="10" a="1"/>
  <c r="BU12" i="10" s="1"/>
  <c r="BU13" i="10" s="1" a="1"/>
  <c r="BU13" i="10" s="1"/>
  <c r="BT12" i="10" a="1"/>
  <c r="BT12" i="10" s="1"/>
  <c r="BT13" i="10" s="1" a="1"/>
  <c r="BT13" i="10" s="1"/>
  <c r="BS12" i="10" a="1"/>
  <c r="BS12" i="10" s="1"/>
  <c r="BS13" i="10" s="1" a="1"/>
  <c r="BS13" i="10" s="1"/>
  <c r="BR12" i="10" a="1"/>
  <c r="BR12" i="10" s="1"/>
  <c r="BR13" i="10" s="1" a="1"/>
  <c r="BR13" i="10" s="1"/>
  <c r="BJ12" i="10" a="1"/>
  <c r="BJ12" i="10" s="1"/>
  <c r="BJ13" i="10" s="1" a="1"/>
  <c r="BJ13" i="10" s="1"/>
  <c r="BI12" i="10" a="1"/>
  <c r="BI12" i="10" s="1"/>
  <c r="BI13" i="10" s="1" a="1"/>
  <c r="BI13" i="10" s="1"/>
  <c r="BH12" i="10" a="1"/>
  <c r="BH12" i="10" s="1"/>
  <c r="BH13" i="10" s="1" a="1"/>
  <c r="BH13" i="10" s="1"/>
  <c r="BG12" i="10"/>
  <c r="BG13" i="10" s="1" a="1"/>
  <c r="BG13" i="10" s="1"/>
  <c r="BD12" i="10" a="1"/>
  <c r="BD12" i="10" s="1"/>
  <c r="BD13" i="10" s="1" a="1"/>
  <c r="BD13" i="10" s="1"/>
  <c r="AX12" i="10" a="1"/>
  <c r="AX12" i="10" s="1"/>
  <c r="AX13" i="10" s="1" a="1"/>
  <c r="AX13" i="10" s="1"/>
  <c r="AW12" i="10" a="1"/>
  <c r="AW12" i="10" s="1"/>
  <c r="AW13" i="10" s="1" a="1"/>
  <c r="AW13" i="10" s="1"/>
  <c r="AV12" i="10" a="1"/>
  <c r="AV12" i="10" s="1"/>
  <c r="AV13" i="10" s="1" a="1"/>
  <c r="AV13" i="10" s="1"/>
  <c r="AU12" i="10" a="1"/>
  <c r="AU12" i="10" s="1"/>
  <c r="AU13" i="10" s="1" a="1"/>
  <c r="AU13" i="10" s="1"/>
  <c r="AT12" i="10" a="1"/>
  <c r="AT12" i="10" s="1"/>
  <c r="AT13" i="10" s="1" a="1"/>
  <c r="AT13" i="10" s="1"/>
  <c r="AL12" i="10" a="1"/>
  <c r="AL12" i="10" s="1"/>
  <c r="AL13" i="10" s="1" a="1"/>
  <c r="AL13" i="10" s="1"/>
  <c r="AK12" i="10" a="1"/>
  <c r="AK12" i="10" s="1"/>
  <c r="AK13" i="10" s="1" a="1"/>
  <c r="AK13" i="10" s="1"/>
  <c r="AJ12" i="10"/>
  <c r="AJ13" i="10" s="1" a="1"/>
  <c r="AJ13" i="10" s="1"/>
  <c r="AJ12" i="10" a="1"/>
  <c r="AC12" i="10" a="1"/>
  <c r="AC12" i="10" s="1"/>
  <c r="AC13" i="10" s="1" a="1"/>
  <c r="AC13" i="10" s="1"/>
  <c r="AB12" i="10"/>
  <c r="AB13" i="10" s="1" a="1"/>
  <c r="AB13" i="10" s="1"/>
  <c r="Z12" i="10" a="1"/>
  <c r="Z12" i="10" s="1"/>
  <c r="Z13" i="10" s="1" a="1"/>
  <c r="Z13" i="10" s="1"/>
  <c r="Y12" i="10" a="1"/>
  <c r="Y12" i="10" s="1"/>
  <c r="Y13" i="10" s="1" a="1"/>
  <c r="Y13" i="10" s="1"/>
  <c r="X12" i="10"/>
  <c r="X13" i="10" s="1" a="1"/>
  <c r="X13" i="10" s="1"/>
  <c r="X12" i="10" a="1"/>
  <c r="W12" i="10" a="1"/>
  <c r="W12" i="10" s="1"/>
  <c r="W13" i="10" s="1" a="1"/>
  <c r="W13" i="10" s="1"/>
  <c r="V12" i="10" a="1"/>
  <c r="V12" i="10" s="1"/>
  <c r="V13" i="10" s="1" a="1"/>
  <c r="V13" i="10" s="1"/>
  <c r="U12" i="10" a="1"/>
  <c r="U12" i="10" s="1"/>
  <c r="U13" i="10" s="1" a="1"/>
  <c r="U13" i="10" s="1"/>
  <c r="T12" i="10" a="1"/>
  <c r="T12" i="10" s="1"/>
  <c r="T13" i="10" s="1" a="1"/>
  <c r="T13" i="10" s="1"/>
  <c r="Q12" i="10" a="1"/>
  <c r="Q12" i="10" s="1"/>
  <c r="P12" i="10" a="1"/>
  <c r="P12" i="10" s="1"/>
  <c r="P13" i="10" s="1" a="1"/>
  <c r="P13" i="10" s="1"/>
  <c r="O12" i="10" a="1"/>
  <c r="O12" i="10" s="1"/>
  <c r="O13" i="10" s="1" a="1"/>
  <c r="O13" i="10" s="1"/>
  <c r="N12" i="10" a="1"/>
  <c r="N12" i="10" s="1"/>
  <c r="N13" i="10" s="1" a="1"/>
  <c r="N13" i="10" s="1"/>
  <c r="M12" i="10" a="1"/>
  <c r="M12" i="10" s="1"/>
  <c r="M13" i="10" s="1" a="1"/>
  <c r="M13" i="10" s="1"/>
  <c r="L12" i="10"/>
  <c r="L13" i="10" s="1" a="1"/>
  <c r="L13" i="10" s="1"/>
  <c r="L12" i="10" a="1"/>
  <c r="I12" i="10" a="1"/>
  <c r="I12" i="10" s="1"/>
  <c r="I13" i="10" s="1" a="1"/>
  <c r="I13" i="10" s="1"/>
  <c r="H12" i="10" a="1"/>
  <c r="H12" i="10" s="1"/>
  <c r="H13" i="10" s="1" a="1"/>
  <c r="H13" i="10" s="1"/>
  <c r="G12" i="10" a="1"/>
  <c r="G12" i="10" s="1"/>
  <c r="G13" i="10" s="1" a="1"/>
  <c r="G13" i="10" s="1"/>
  <c r="F12" i="10" a="1"/>
  <c r="F12" i="10" s="1"/>
  <c r="F13" i="10" s="1" a="1"/>
  <c r="F13" i="10" s="1"/>
  <c r="E12" i="10" a="1"/>
  <c r="E12" i="10" s="1"/>
  <c r="E13" i="10" s="1" a="1"/>
  <c r="E13" i="10" s="1"/>
  <c r="B12" i="10" a="1"/>
  <c r="B12" i="10" s="1"/>
  <c r="GF11" i="10"/>
  <c r="GE11" i="10"/>
  <c r="GD11" i="10"/>
  <c r="GC11" i="10"/>
  <c r="GB11" i="10"/>
  <c r="GA11" i="10"/>
  <c r="FZ11" i="10"/>
  <c r="FY11" i="10"/>
  <c r="FX11" i="10"/>
  <c r="FW11" i="10"/>
  <c r="FV11" i="10"/>
  <c r="FU11" i="10"/>
  <c r="FT11" i="10"/>
  <c r="FS11" i="10"/>
  <c r="FR11" i="10"/>
  <c r="FQ11" i="10"/>
  <c r="FP11" i="10"/>
  <c r="FO11" i="10"/>
  <c r="FN11" i="10"/>
  <c r="FM11" i="10"/>
  <c r="FL11" i="10"/>
  <c r="FK11" i="10"/>
  <c r="FJ11" i="10"/>
  <c r="FI11" i="10"/>
  <c r="FH11" i="10"/>
  <c r="FG11" i="10"/>
  <c r="FF11" i="10"/>
  <c r="FE11" i="10"/>
  <c r="FD11" i="10"/>
  <c r="FC11" i="10"/>
  <c r="FB11" i="10"/>
  <c r="FA11" i="10"/>
  <c r="EZ11" i="10"/>
  <c r="EY11" i="10"/>
  <c r="EX11" i="10"/>
  <c r="EW11" i="10"/>
  <c r="EV11" i="10"/>
  <c r="EU11" i="10"/>
  <c r="ET11" i="10"/>
  <c r="ES11" i="10"/>
  <c r="ER11" i="10"/>
  <c r="EQ11" i="10"/>
  <c r="EP11" i="10"/>
  <c r="EO11" i="10"/>
  <c r="EN11" i="10"/>
  <c r="EM11" i="10"/>
  <c r="EL11" i="10"/>
  <c r="EK11" i="10"/>
  <c r="EJ11" i="10"/>
  <c r="EI11" i="10"/>
  <c r="EH11" i="10"/>
  <c r="EG11" i="10"/>
  <c r="EF11" i="10"/>
  <c r="EE11" i="10"/>
  <c r="ED11" i="10"/>
  <c r="EC11" i="10"/>
  <c r="EB11" i="10"/>
  <c r="EA11" i="10"/>
  <c r="DZ11" i="10"/>
  <c r="DY11" i="10"/>
  <c r="DX11" i="10"/>
  <c r="DW11" i="10"/>
  <c r="DV11" i="10"/>
  <c r="DU11" i="10"/>
  <c r="DT11" i="10"/>
  <c r="DS11" i="10"/>
  <c r="DR11" i="10"/>
  <c r="DQ11" i="10"/>
  <c r="DP11" i="10"/>
  <c r="DO11" i="10"/>
  <c r="DN11" i="10"/>
  <c r="DM11" i="10"/>
  <c r="DL11" i="10"/>
  <c r="DK11" i="10"/>
  <c r="DJ11" i="10"/>
  <c r="DI11" i="10"/>
  <c r="DH11" i="10"/>
  <c r="DG11" i="10"/>
  <c r="DF11" i="10"/>
  <c r="DE11" i="10"/>
  <c r="DD11" i="10"/>
  <c r="DC11" i="10"/>
  <c r="DB11" i="10"/>
  <c r="DA11" i="10"/>
  <c r="CZ11" i="10"/>
  <c r="CY11" i="10"/>
  <c r="CX11" i="10"/>
  <c r="CW11" i="10"/>
  <c r="CV11" i="10"/>
  <c r="CU11" i="10"/>
  <c r="CT11" i="10"/>
  <c r="CS11" i="10"/>
  <c r="CR11" i="10"/>
  <c r="CQ11" i="10"/>
  <c r="CP11" i="10"/>
  <c r="CO11" i="10"/>
  <c r="CN11" i="10"/>
  <c r="CM11" i="10"/>
  <c r="CL11" i="10"/>
  <c r="CK11" i="10"/>
  <c r="CJ11" i="10"/>
  <c r="CI11" i="10"/>
  <c r="CH11" i="10"/>
  <c r="CG11" i="10"/>
  <c r="CF11" i="10"/>
  <c r="CE11" i="10"/>
  <c r="CD11" i="10"/>
  <c r="CC11" i="10"/>
  <c r="CB11" i="10"/>
  <c r="CA11" i="10"/>
  <c r="BZ11" i="10"/>
  <c r="BY11" i="10"/>
  <c r="BX11" i="10"/>
  <c r="BW11" i="10"/>
  <c r="BV11" i="10"/>
  <c r="BU11" i="10"/>
  <c r="BT11" i="10"/>
  <c r="BS11" i="10"/>
  <c r="BR11" i="10"/>
  <c r="BQ11" i="10"/>
  <c r="BP11" i="10"/>
  <c r="BO11" i="10"/>
  <c r="BN11" i="10"/>
  <c r="BM11" i="10"/>
  <c r="BL11" i="10"/>
  <c r="BK11" i="10"/>
  <c r="BJ11" i="10"/>
  <c r="BI11" i="10"/>
  <c r="BH11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GF10" i="10"/>
  <c r="GE10" i="10"/>
  <c r="GD10" i="10"/>
  <c r="GC10" i="10"/>
  <c r="GB10" i="10"/>
  <c r="GA10" i="10"/>
  <c r="FZ10" i="10"/>
  <c r="FY10" i="10"/>
  <c r="FX10" i="10"/>
  <c r="FW10" i="10"/>
  <c r="FV10" i="10"/>
  <c r="FU10" i="10"/>
  <c r="FT10" i="10"/>
  <c r="FS10" i="10"/>
  <c r="FR10" i="10"/>
  <c r="FQ10" i="10"/>
  <c r="FP10" i="10"/>
  <c r="FO10" i="10"/>
  <c r="FN10" i="10"/>
  <c r="FM10" i="10"/>
  <c r="FL10" i="10"/>
  <c r="FK10" i="10"/>
  <c r="FJ10" i="10"/>
  <c r="FI10" i="10"/>
  <c r="FH10" i="10"/>
  <c r="FG10" i="10"/>
  <c r="FF10" i="10"/>
  <c r="FE10" i="10"/>
  <c r="FD10" i="10"/>
  <c r="FC10" i="10"/>
  <c r="FB10" i="10"/>
  <c r="FA10" i="10"/>
  <c r="EZ10" i="10"/>
  <c r="EY10" i="10"/>
  <c r="EX10" i="10"/>
  <c r="EW10" i="10"/>
  <c r="EV10" i="10"/>
  <c r="EU10" i="10"/>
  <c r="ET10" i="10"/>
  <c r="ES10" i="10"/>
  <c r="ER10" i="10"/>
  <c r="EQ10" i="10"/>
  <c r="EP10" i="10"/>
  <c r="EO10" i="10"/>
  <c r="EN10" i="10"/>
  <c r="EM10" i="10"/>
  <c r="EL10" i="10"/>
  <c r="EK10" i="10"/>
  <c r="EJ10" i="10"/>
  <c r="EI10" i="10"/>
  <c r="EH10" i="10"/>
  <c r="EG10" i="10"/>
  <c r="EF10" i="10"/>
  <c r="EE10" i="10"/>
  <c r="ED10" i="10"/>
  <c r="EC10" i="10"/>
  <c r="EB10" i="10"/>
  <c r="EA10" i="10"/>
  <c r="DZ10" i="10"/>
  <c r="DY10" i="10"/>
  <c r="DX10" i="10"/>
  <c r="DW10" i="10"/>
  <c r="DV10" i="10"/>
  <c r="DU10" i="10"/>
  <c r="DT10" i="10"/>
  <c r="DS10" i="10"/>
  <c r="DR10" i="10"/>
  <c r="DQ10" i="10"/>
  <c r="DP10" i="10"/>
  <c r="DO10" i="10"/>
  <c r="DN10" i="10"/>
  <c r="DM10" i="10"/>
  <c r="DL10" i="10"/>
  <c r="DK10" i="10"/>
  <c r="DJ10" i="10"/>
  <c r="DI10" i="10"/>
  <c r="DH10" i="10"/>
  <c r="DG10" i="10"/>
  <c r="DF10" i="10"/>
  <c r="DE10" i="10"/>
  <c r="DD10" i="10"/>
  <c r="DC10" i="10"/>
  <c r="DB10" i="10"/>
  <c r="DA10" i="10"/>
  <c r="CZ10" i="10"/>
  <c r="CY10" i="10"/>
  <c r="CX10" i="10"/>
  <c r="CW10" i="10"/>
  <c r="CV10" i="10"/>
  <c r="CU10" i="10"/>
  <c r="CT10" i="10"/>
  <c r="CS10" i="10"/>
  <c r="CR10" i="10"/>
  <c r="CQ10" i="10"/>
  <c r="CP10" i="10"/>
  <c r="CO10" i="10"/>
  <c r="CN10" i="10"/>
  <c r="CM10" i="10"/>
  <c r="CL10" i="10"/>
  <c r="CK10" i="10"/>
  <c r="CJ10" i="10"/>
  <c r="CI10" i="10"/>
  <c r="CH10" i="10"/>
  <c r="CG10" i="10"/>
  <c r="CF10" i="10"/>
  <c r="CE10" i="10"/>
  <c r="CD10" i="10"/>
  <c r="CC10" i="10"/>
  <c r="CB10" i="10"/>
  <c r="CA10" i="10"/>
  <c r="BZ10" i="10"/>
  <c r="BY10" i="10"/>
  <c r="BX10" i="10"/>
  <c r="BW10" i="10"/>
  <c r="BV10" i="10"/>
  <c r="BU10" i="10"/>
  <c r="BT10" i="10"/>
  <c r="BS10" i="10"/>
  <c r="BR10" i="10"/>
  <c r="BQ10" i="10"/>
  <c r="BP10" i="10"/>
  <c r="BO10" i="10"/>
  <c r="BN10" i="10"/>
  <c r="BM10" i="10"/>
  <c r="BL10" i="10"/>
  <c r="BK10" i="10"/>
  <c r="BJ10" i="10"/>
  <c r="BI10" i="10"/>
  <c r="BH10" i="10"/>
  <c r="BG10" i="10"/>
  <c r="BF10" i="10"/>
  <c r="BE10" i="10"/>
  <c r="BD10" i="10"/>
  <c r="BC10" i="10"/>
  <c r="BB10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GF9" i="10"/>
  <c r="GE9" i="10"/>
  <c r="GD9" i="10"/>
  <c r="GD12" i="10" s="1" a="1"/>
  <c r="GD12" i="10" s="1"/>
  <c r="GD13" i="10" s="1" a="1"/>
  <c r="GD13" i="10" s="1"/>
  <c r="GC9" i="10"/>
  <c r="GC12" i="10" s="1" a="1"/>
  <c r="GC12" i="10" s="1"/>
  <c r="GC13" i="10" s="1" a="1"/>
  <c r="GC13" i="10" s="1"/>
  <c r="GB9" i="10"/>
  <c r="GB12" i="10" s="1" a="1"/>
  <c r="GB12" i="10" s="1"/>
  <c r="GB13" i="10" s="1" a="1"/>
  <c r="GB13" i="10" s="1"/>
  <c r="GA9" i="10"/>
  <c r="GA12" i="10" s="1" a="1"/>
  <c r="GA12" i="10" s="1"/>
  <c r="GA13" i="10" s="1" a="1"/>
  <c r="GA13" i="10" s="1"/>
  <c r="FZ9" i="10"/>
  <c r="FY9" i="10"/>
  <c r="FX9" i="10"/>
  <c r="FW9" i="10"/>
  <c r="FV9" i="10"/>
  <c r="FU9" i="10"/>
  <c r="FU12" i="10" s="1" a="1"/>
  <c r="FU12" i="10" s="1"/>
  <c r="FT9" i="10"/>
  <c r="FT12" i="10" s="1" a="1"/>
  <c r="FT12" i="10" s="1"/>
  <c r="FT13" i="10" s="1" a="1"/>
  <c r="FT13" i="10" s="1"/>
  <c r="FS9" i="10"/>
  <c r="FS12" i="10" s="1" a="1"/>
  <c r="FS12" i="10" s="1"/>
  <c r="FS13" i="10" s="1" a="1"/>
  <c r="FS13" i="10" s="1"/>
  <c r="FR9" i="10"/>
  <c r="FR12" i="10" s="1" a="1"/>
  <c r="FR12" i="10" s="1"/>
  <c r="FR13" i="10" s="1" a="1"/>
  <c r="FR13" i="10" s="1"/>
  <c r="FQ9" i="10"/>
  <c r="FP9" i="10"/>
  <c r="FP12" i="10" s="1" a="1"/>
  <c r="FP12" i="10" s="1"/>
  <c r="FP13" i="10" s="1" a="1"/>
  <c r="FP13" i="10" s="1"/>
  <c r="FO9" i="10"/>
  <c r="FO12" i="10" s="1" a="1"/>
  <c r="FO12" i="10" s="1"/>
  <c r="FO13" i="10" s="1" a="1"/>
  <c r="FO13" i="10" s="1"/>
  <c r="FN9" i="10"/>
  <c r="FM9" i="10"/>
  <c r="FM12" i="10" s="1" a="1"/>
  <c r="FM12" i="10" s="1"/>
  <c r="FM13" i="10" s="1" a="1"/>
  <c r="FM13" i="10" s="1"/>
  <c r="FL9" i="10"/>
  <c r="FK9" i="10"/>
  <c r="FK12" i="10" s="1" a="1"/>
  <c r="FK12" i="10" s="1"/>
  <c r="FJ9" i="10"/>
  <c r="FJ12" i="10" s="1" a="1"/>
  <c r="FJ12" i="10" s="1"/>
  <c r="FJ13" i="10" s="1" a="1"/>
  <c r="FJ13" i="10" s="1"/>
  <c r="FI9" i="10"/>
  <c r="FH9" i="10"/>
  <c r="FG9" i="10"/>
  <c r="FF9" i="10"/>
  <c r="FF12" i="10" s="1" a="1"/>
  <c r="FF12" i="10" s="1"/>
  <c r="FF13" i="10" s="1" a="1"/>
  <c r="FF13" i="10" s="1"/>
  <c r="FE9" i="10"/>
  <c r="FD9" i="10"/>
  <c r="FD12" i="10" s="1" a="1"/>
  <c r="FD12" i="10" s="1"/>
  <c r="FD13" i="10" s="1" a="1"/>
  <c r="FD13" i="10" s="1"/>
  <c r="FC9" i="10"/>
  <c r="FC12" i="10" s="1" a="1"/>
  <c r="FC12" i="10" s="1"/>
  <c r="FC13" i="10" s="1" a="1"/>
  <c r="FC13" i="10" s="1"/>
  <c r="FB9" i="10"/>
  <c r="FA9" i="10"/>
  <c r="EZ9" i="10"/>
  <c r="EY9" i="10"/>
  <c r="EY12" i="10" s="1" a="1"/>
  <c r="EY12" i="10" s="1"/>
  <c r="EX9" i="10"/>
  <c r="EW9" i="10"/>
  <c r="EV9" i="10"/>
  <c r="EU9" i="10"/>
  <c r="ET9" i="10"/>
  <c r="ET12" i="10" s="1" a="1"/>
  <c r="ET12" i="10" s="1"/>
  <c r="ET13" i="10" s="1" a="1"/>
  <c r="ET13" i="10" s="1"/>
  <c r="ES9" i="10"/>
  <c r="ES12" i="10" s="1" a="1"/>
  <c r="ES12" i="10" s="1"/>
  <c r="ER9" i="10"/>
  <c r="ER12" i="10" s="1" a="1"/>
  <c r="ER12" i="10" s="1"/>
  <c r="EQ9" i="10"/>
  <c r="EQ12" i="10" s="1" a="1"/>
  <c r="EQ12" i="10" s="1"/>
  <c r="EQ13" i="10" s="1" a="1"/>
  <c r="EQ13" i="10" s="1"/>
  <c r="EP9" i="10"/>
  <c r="EO9" i="10"/>
  <c r="EN9" i="10"/>
  <c r="EM9" i="10"/>
  <c r="EL9" i="10"/>
  <c r="EL12" i="10" s="1" a="1"/>
  <c r="EL12" i="10" s="1"/>
  <c r="EL13" i="10" s="1" a="1"/>
  <c r="EL13" i="10" s="1"/>
  <c r="EK9" i="10"/>
  <c r="EK12" i="10" s="1" a="1"/>
  <c r="EK12" i="10" s="1"/>
  <c r="EK13" i="10" s="1" a="1"/>
  <c r="EK13" i="10" s="1"/>
  <c r="EJ9" i="10"/>
  <c r="EJ12" i="10" s="1" a="1"/>
  <c r="EJ12" i="10" s="1"/>
  <c r="EJ13" i="10" s="1" a="1"/>
  <c r="EJ13" i="10" s="1"/>
  <c r="EI9" i="10"/>
  <c r="EI12" i="10" s="1" a="1"/>
  <c r="EI12" i="10" s="1"/>
  <c r="EI13" i="10" s="1" a="1"/>
  <c r="EI13" i="10" s="1"/>
  <c r="EH9" i="10"/>
  <c r="EG9" i="10"/>
  <c r="EF9" i="10"/>
  <c r="EF12" i="10" s="1" a="1"/>
  <c r="EF12" i="10" s="1"/>
  <c r="EF13" i="10" s="1" a="1"/>
  <c r="EF13" i="10" s="1"/>
  <c r="EE9" i="10"/>
  <c r="EE12" i="10" s="1" a="1"/>
  <c r="EE12" i="10" s="1"/>
  <c r="EE13" i="10" s="1" a="1"/>
  <c r="EE13" i="10" s="1"/>
  <c r="ED9" i="10"/>
  <c r="EC9" i="10"/>
  <c r="EC12" i="10" s="1" a="1"/>
  <c r="EC12" i="10" s="1"/>
  <c r="EC13" i="10" s="1" a="1"/>
  <c r="EC13" i="10" s="1"/>
  <c r="EB9" i="10"/>
  <c r="EA9" i="10"/>
  <c r="DZ9" i="10"/>
  <c r="DY9" i="10"/>
  <c r="DX9" i="10"/>
  <c r="DW9" i="10"/>
  <c r="DV9" i="10"/>
  <c r="DV12" i="10" s="1" a="1"/>
  <c r="DV12" i="10" s="1"/>
  <c r="DV13" i="10" s="1" a="1"/>
  <c r="DV13" i="10" s="1"/>
  <c r="DU9" i="10"/>
  <c r="DU12" i="10" s="1" a="1"/>
  <c r="DU12" i="10" s="1"/>
  <c r="DU13" i="10" s="1" a="1"/>
  <c r="DU13" i="10" s="1"/>
  <c r="DT9" i="10"/>
  <c r="DT12" i="10" s="1" a="1"/>
  <c r="DT12" i="10" s="1"/>
  <c r="DT13" i="10" s="1" a="1"/>
  <c r="DT13" i="10" s="1"/>
  <c r="DS9" i="10"/>
  <c r="DS12" i="10" s="1" a="1"/>
  <c r="DS12" i="10" s="1"/>
  <c r="DS13" i="10" s="1" a="1"/>
  <c r="DS13" i="10" s="1"/>
  <c r="DR9" i="10"/>
  <c r="DQ9" i="10"/>
  <c r="DP9" i="10"/>
  <c r="DO9" i="10"/>
  <c r="DO12" i="10" s="1" a="1"/>
  <c r="DO12" i="10" s="1"/>
  <c r="DN9" i="10"/>
  <c r="DM9" i="10"/>
  <c r="DL9" i="10"/>
  <c r="DK9" i="10"/>
  <c r="DK12" i="10" s="1" a="1"/>
  <c r="DK12" i="10" s="1"/>
  <c r="DK13" i="10" s="1" a="1"/>
  <c r="DK13" i="10" s="1"/>
  <c r="DJ9" i="10"/>
  <c r="DJ12" i="10" s="1" a="1"/>
  <c r="DJ12" i="10" s="1"/>
  <c r="DJ13" i="10" s="1" a="1"/>
  <c r="DJ13" i="10" s="1"/>
  <c r="DI9" i="10"/>
  <c r="DI12" i="10" s="1" a="1"/>
  <c r="DI12" i="10" s="1"/>
  <c r="DI13" i="10" s="1" a="1"/>
  <c r="DI13" i="10" s="1"/>
  <c r="DH9" i="10"/>
  <c r="DH12" i="10" s="1" a="1"/>
  <c r="DH12" i="10" s="1"/>
  <c r="DH13" i="10" s="1" a="1"/>
  <c r="DH13" i="10" s="1"/>
  <c r="DG9" i="10"/>
  <c r="DG12" i="10" s="1" a="1"/>
  <c r="DG12" i="10" s="1"/>
  <c r="DG13" i="10" s="1" a="1"/>
  <c r="DG13" i="10" s="1"/>
  <c r="DF9" i="10"/>
  <c r="DE9" i="10"/>
  <c r="DD9" i="10"/>
  <c r="DC9" i="10"/>
  <c r="DC12" i="10" s="1" a="1"/>
  <c r="DC12" i="10" s="1"/>
  <c r="DB9" i="10"/>
  <c r="DB12" i="10" s="1" a="1"/>
  <c r="DB12" i="10" s="1"/>
  <c r="DB13" i="10" s="1" a="1"/>
  <c r="DB13" i="10" s="1"/>
  <c r="DA9" i="10"/>
  <c r="DA12" i="10" s="1" a="1"/>
  <c r="DA12" i="10" s="1"/>
  <c r="CZ9" i="10"/>
  <c r="CZ12" i="10" s="1" a="1"/>
  <c r="CZ12" i="10" s="1"/>
  <c r="CZ13" i="10" s="1" a="1"/>
  <c r="CZ13" i="10" s="1"/>
  <c r="CY9" i="10"/>
  <c r="CX9" i="10"/>
  <c r="CW9" i="10"/>
  <c r="CW12" i="10" s="1" a="1"/>
  <c r="CW12" i="10" s="1"/>
  <c r="CW13" i="10" s="1" a="1"/>
  <c r="CW13" i="10" s="1"/>
  <c r="CV9" i="10"/>
  <c r="CV12" i="10" s="1" a="1"/>
  <c r="CV12" i="10" s="1"/>
  <c r="CV13" i="10" s="1" a="1"/>
  <c r="CV13" i="10" s="1"/>
  <c r="CU9" i="10"/>
  <c r="CU12" i="10" s="1" a="1"/>
  <c r="CU12" i="10" s="1"/>
  <c r="CU13" i="10" s="1" a="1"/>
  <c r="CU13" i="10" s="1"/>
  <c r="CT9" i="10"/>
  <c r="CS9" i="10"/>
  <c r="CS12" i="10" s="1" a="1"/>
  <c r="CS12" i="10" s="1"/>
  <c r="CS13" i="10" s="1" a="1"/>
  <c r="CS13" i="10" s="1"/>
  <c r="CR9" i="10"/>
  <c r="CQ9" i="10"/>
  <c r="CP9" i="10"/>
  <c r="CO9" i="10"/>
  <c r="CN9" i="10"/>
  <c r="CM9" i="10"/>
  <c r="CM12" i="10" s="1" a="1"/>
  <c r="CM12" i="10" s="1"/>
  <c r="CM13" i="10" s="1" a="1"/>
  <c r="CM13" i="10" s="1"/>
  <c r="CL9" i="10"/>
  <c r="CL12" i="10" s="1" a="1"/>
  <c r="CL12" i="10" s="1"/>
  <c r="CL13" i="10" s="1" a="1"/>
  <c r="CL13" i="10" s="1"/>
  <c r="CK9" i="10"/>
  <c r="CK12" i="10" s="1" a="1"/>
  <c r="CK12" i="10" s="1"/>
  <c r="CK13" i="10" s="1" a="1"/>
  <c r="CK13" i="10" s="1"/>
  <c r="CJ9" i="10"/>
  <c r="CJ12" i="10" s="1" a="1"/>
  <c r="CJ12" i="10" s="1"/>
  <c r="CJ13" i="10" s="1" a="1"/>
  <c r="CJ13" i="10" s="1"/>
  <c r="CI9" i="10"/>
  <c r="CI12" i="10" s="1" a="1"/>
  <c r="CI12" i="10" s="1"/>
  <c r="CI13" i="10" s="1" a="1"/>
  <c r="CI13" i="10" s="1"/>
  <c r="CH9" i="10"/>
  <c r="CG9" i="10"/>
  <c r="CF9" i="10"/>
  <c r="CE9" i="10"/>
  <c r="CD9" i="10"/>
  <c r="CD12" i="10" s="1" a="1"/>
  <c r="CD12" i="10" s="1"/>
  <c r="CC9" i="10"/>
  <c r="CC12" i="10" s="1" a="1"/>
  <c r="CC12" i="10" s="1"/>
  <c r="CB9" i="10"/>
  <c r="CB12" i="10" s="1" a="1"/>
  <c r="CB12" i="10" s="1"/>
  <c r="CB13" i="10" s="1" a="1"/>
  <c r="CB13" i="10" s="1"/>
  <c r="CA9" i="10"/>
  <c r="BZ9" i="10"/>
  <c r="BZ12" i="10" s="1" a="1"/>
  <c r="BZ12" i="10" s="1"/>
  <c r="BZ13" i="10" s="1" a="1"/>
  <c r="BZ13" i="10" s="1"/>
  <c r="BY9" i="10"/>
  <c r="BY12" i="10" s="1" a="1"/>
  <c r="BY12" i="10" s="1"/>
  <c r="BY13" i="10" s="1" a="1"/>
  <c r="BY13" i="10" s="1"/>
  <c r="BX9" i="10"/>
  <c r="BX12" i="10" s="1" a="1"/>
  <c r="BX12" i="10" s="1"/>
  <c r="BX13" i="10" s="1" a="1"/>
  <c r="BX13" i="10" s="1"/>
  <c r="BW9" i="10"/>
  <c r="BW12" i="10" s="1" a="1"/>
  <c r="BW12" i="10" s="1"/>
  <c r="BW13" i="10" s="1" a="1"/>
  <c r="BW13" i="10" s="1"/>
  <c r="BV9" i="10"/>
  <c r="BU9" i="10"/>
  <c r="BT9" i="10"/>
  <c r="BS9" i="10"/>
  <c r="BR9" i="10"/>
  <c r="BQ9" i="10"/>
  <c r="BQ12" i="10" s="1" a="1"/>
  <c r="BQ12" i="10" s="1"/>
  <c r="BP9" i="10"/>
  <c r="BP12" i="10" s="1" a="1"/>
  <c r="BP12" i="10" s="1"/>
  <c r="BP13" i="10" s="1" a="1"/>
  <c r="BP13" i="10" s="1"/>
  <c r="BO9" i="10"/>
  <c r="BO12" i="10" s="1" a="1"/>
  <c r="BO12" i="10" s="1"/>
  <c r="BO13" i="10" s="1" a="1"/>
  <c r="BO13" i="10" s="1"/>
  <c r="BN9" i="10"/>
  <c r="BN12" i="10" s="1" a="1"/>
  <c r="BN12" i="10" s="1"/>
  <c r="BN13" i="10" s="1" a="1"/>
  <c r="BN13" i="10" s="1"/>
  <c r="BM9" i="10"/>
  <c r="BM12" i="10" s="1" a="1"/>
  <c r="BM12" i="10" s="1"/>
  <c r="BM13" i="10" s="1" a="1"/>
  <c r="BM13" i="10" s="1"/>
  <c r="BL9" i="10"/>
  <c r="BL12" i="10" s="1" a="1"/>
  <c r="BL12" i="10" s="1"/>
  <c r="BL13" i="10" s="1" a="1"/>
  <c r="BL13" i="10" s="1"/>
  <c r="BK9" i="10"/>
  <c r="BK12" i="10" s="1" a="1"/>
  <c r="BK12" i="10" s="1"/>
  <c r="BK13" i="10" s="1" a="1"/>
  <c r="BK13" i="10" s="1"/>
  <c r="BJ9" i="10"/>
  <c r="BI9" i="10"/>
  <c r="BH9" i="10"/>
  <c r="BG9" i="10"/>
  <c r="BG12" i="10" s="1" a="1"/>
  <c r="BF9" i="10"/>
  <c r="BF12" i="10" s="1" a="1"/>
  <c r="BF12" i="10" s="1"/>
  <c r="BF13" i="10" s="1" a="1"/>
  <c r="BF13" i="10" s="1"/>
  <c r="BE9" i="10"/>
  <c r="BE12" i="10" s="1" a="1"/>
  <c r="BE12" i="10" s="1"/>
  <c r="BE13" i="10" s="1" a="1"/>
  <c r="BE13" i="10" s="1"/>
  <c r="BD9" i="10"/>
  <c r="BC9" i="10"/>
  <c r="BC12" i="10" s="1" a="1"/>
  <c r="BC12" i="10" s="1"/>
  <c r="BC13" i="10" s="1" a="1"/>
  <c r="BC13" i="10" s="1"/>
  <c r="BB9" i="10"/>
  <c r="BB12" i="10" s="1" a="1"/>
  <c r="BB12" i="10" s="1"/>
  <c r="BB13" i="10" s="1" a="1"/>
  <c r="BB13" i="10" s="1"/>
  <c r="BA9" i="10"/>
  <c r="BA12" i="10" s="1" a="1"/>
  <c r="BA12" i="10" s="1"/>
  <c r="BA13" i="10" s="1" a="1"/>
  <c r="BA13" i="10" s="1"/>
  <c r="AZ9" i="10"/>
  <c r="AZ12" i="10" s="1" a="1"/>
  <c r="AZ12" i="10" s="1"/>
  <c r="AZ13" i="10" s="1" a="1"/>
  <c r="AZ13" i="10" s="1"/>
  <c r="AY9" i="10"/>
  <c r="AY12" i="10" s="1" a="1"/>
  <c r="AY12" i="10" s="1"/>
  <c r="AY13" i="10" s="1" a="1"/>
  <c r="AY13" i="10" s="1"/>
  <c r="AX9" i="10"/>
  <c r="AW9" i="10"/>
  <c r="AV9" i="10"/>
  <c r="AU9" i="10"/>
  <c r="AT9" i="10"/>
  <c r="AS9" i="10"/>
  <c r="AS12" i="10" s="1" a="1"/>
  <c r="AS12" i="10" s="1"/>
  <c r="AS13" i="10" s="1" a="1"/>
  <c r="AS13" i="10" s="1"/>
  <c r="AR9" i="10"/>
  <c r="AR12" i="10" s="1" a="1"/>
  <c r="AR12" i="10" s="1"/>
  <c r="AR13" i="10" s="1" a="1"/>
  <c r="AR13" i="10" s="1"/>
  <c r="AQ9" i="10"/>
  <c r="AQ12" i="10" s="1" a="1"/>
  <c r="AQ12" i="10" s="1"/>
  <c r="AQ13" i="10" s="1" a="1"/>
  <c r="AQ13" i="10" s="1"/>
  <c r="AP9" i="10"/>
  <c r="AP12" i="10" s="1" a="1"/>
  <c r="AP12" i="10" s="1"/>
  <c r="AP13" i="10" s="1" a="1"/>
  <c r="AP13" i="10" s="1"/>
  <c r="AO9" i="10"/>
  <c r="AO12" i="10" s="1" a="1"/>
  <c r="AO12" i="10" s="1"/>
  <c r="AO13" i="10" s="1" a="1"/>
  <c r="AO13" i="10" s="1"/>
  <c r="AN9" i="10"/>
  <c r="AN12" i="10" s="1" a="1"/>
  <c r="AN12" i="10" s="1"/>
  <c r="AN13" i="10" s="1" a="1"/>
  <c r="AN13" i="10" s="1"/>
  <c r="AM9" i="10"/>
  <c r="AM12" i="10" s="1" a="1"/>
  <c r="AM12" i="10" s="1"/>
  <c r="AM13" i="10" s="1" a="1"/>
  <c r="AM13" i="10" s="1"/>
  <c r="AL9" i="10"/>
  <c r="AK9" i="10"/>
  <c r="AJ9" i="10"/>
  <c r="AI9" i="10"/>
  <c r="AI12" i="10" s="1" a="1"/>
  <c r="AI12" i="10" s="1"/>
  <c r="AH9" i="10"/>
  <c r="AH12" i="10" s="1" a="1"/>
  <c r="AH12" i="10" s="1"/>
  <c r="AG9" i="10"/>
  <c r="AG12" i="10" s="1" a="1"/>
  <c r="AG12" i="10" s="1"/>
  <c r="AG13" i="10" s="1" a="1"/>
  <c r="AG13" i="10" s="1"/>
  <c r="AF9" i="10"/>
  <c r="AF12" i="10" s="1" a="1"/>
  <c r="AF12" i="10" s="1"/>
  <c r="AF13" i="10" s="1" a="1"/>
  <c r="AF13" i="10" s="1"/>
  <c r="AE9" i="10"/>
  <c r="AE12" i="10" s="1" a="1"/>
  <c r="AE12" i="10" s="1"/>
  <c r="AE13" i="10" s="1" a="1"/>
  <c r="AE13" i="10" s="1"/>
  <c r="AD9" i="10"/>
  <c r="AD12" i="10" s="1" a="1"/>
  <c r="AD12" i="10" s="1"/>
  <c r="AD13" i="10" s="1" a="1"/>
  <c r="AD13" i="10" s="1"/>
  <c r="AC9" i="10"/>
  <c r="AB9" i="10"/>
  <c r="AB12" i="10" s="1" a="1"/>
  <c r="AA9" i="10"/>
  <c r="AA12" i="10" s="1" a="1"/>
  <c r="AA12" i="10" s="1"/>
  <c r="AA13" i="10" s="1" a="1"/>
  <c r="AA13" i="10" s="1"/>
  <c r="Z9" i="10"/>
  <c r="Y9" i="10"/>
  <c r="X9" i="10"/>
  <c r="W9" i="10"/>
  <c r="V9" i="10"/>
  <c r="U9" i="10"/>
  <c r="T9" i="10"/>
  <c r="S9" i="10"/>
  <c r="S12" i="10" s="1" a="1"/>
  <c r="S12" i="10" s="1"/>
  <c r="R9" i="10"/>
  <c r="R12" i="10" s="1" a="1"/>
  <c r="R12" i="10" s="1"/>
  <c r="R13" i="10" s="1" a="1"/>
  <c r="R13" i="10" s="1"/>
  <c r="Q9" i="10"/>
  <c r="P9" i="10"/>
  <c r="O9" i="10"/>
  <c r="N9" i="10"/>
  <c r="M9" i="10"/>
  <c r="L9" i="10"/>
  <c r="K9" i="10"/>
  <c r="K12" i="10" s="1" a="1"/>
  <c r="K12" i="10" s="1"/>
  <c r="K13" i="10" s="1" a="1"/>
  <c r="K13" i="10" s="1"/>
  <c r="J9" i="10"/>
  <c r="J12" i="10" s="1" a="1"/>
  <c r="J12" i="10" s="1"/>
  <c r="I9" i="10"/>
  <c r="H9" i="10"/>
  <c r="G9" i="10"/>
  <c r="F9" i="10"/>
  <c r="E9" i="10"/>
  <c r="D9" i="10"/>
  <c r="D12" i="10" s="1" a="1"/>
  <c r="D12" i="10" s="1"/>
  <c r="D13" i="10" s="1" a="1"/>
  <c r="D13" i="10" s="1"/>
  <c r="C9" i="10"/>
  <c r="C12" i="10" s="1" a="1"/>
  <c r="C12" i="10" s="1"/>
  <c r="C13" i="10" s="1" a="1"/>
  <c r="C13" i="10" s="1"/>
  <c r="B9" i="10"/>
  <c r="N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2" i="2"/>
  <c r="I3" i="2"/>
  <c r="L3" i="2" s="1" a="1"/>
  <c r="L3" i="2" s="1"/>
  <c r="M3" i="2" s="1" a="1"/>
  <c r="M3" i="2" s="1"/>
  <c r="I4" i="2"/>
  <c r="L4" i="2" s="1" a="1"/>
  <c r="L4" i="2" s="1"/>
  <c r="M4" i="2" s="1" a="1"/>
  <c r="M4" i="2" s="1"/>
  <c r="I5" i="2"/>
  <c r="L5" i="2" s="1" a="1"/>
  <c r="L5" i="2" s="1"/>
  <c r="M5" i="2" s="1" a="1"/>
  <c r="M5" i="2" s="1"/>
  <c r="I6" i="2"/>
  <c r="L6" i="2" s="1" a="1"/>
  <c r="L6" i="2" s="1"/>
  <c r="M6" i="2" s="1" a="1"/>
  <c r="M6" i="2" s="1"/>
  <c r="I7" i="2"/>
  <c r="L7" i="2" s="1" a="1"/>
  <c r="L7" i="2" s="1"/>
  <c r="M7" i="2" s="1" a="1"/>
  <c r="M7" i="2" s="1"/>
  <c r="I8" i="2"/>
  <c r="L8" i="2" s="1" a="1"/>
  <c r="L8" i="2" s="1"/>
  <c r="M8" i="2" s="1" a="1"/>
  <c r="M8" i="2" s="1"/>
  <c r="I9" i="2"/>
  <c r="L9" i="2" s="1" a="1"/>
  <c r="L9" i="2" s="1"/>
  <c r="M9" i="2" s="1" a="1"/>
  <c r="M9" i="2" s="1"/>
  <c r="I10" i="2"/>
  <c r="L10" i="2" s="1" a="1"/>
  <c r="L10" i="2" s="1"/>
  <c r="M10" i="2" s="1" a="1"/>
  <c r="M10" i="2" s="1"/>
  <c r="I11" i="2"/>
  <c r="L11" i="2" s="1" a="1"/>
  <c r="L11" i="2" s="1"/>
  <c r="M11" i="2" s="1" a="1"/>
  <c r="M11" i="2" s="1"/>
  <c r="I12" i="2"/>
  <c r="L12" i="2" s="1" a="1"/>
  <c r="L12" i="2" s="1"/>
  <c r="M12" i="2" s="1" a="1"/>
  <c r="M12" i="2" s="1"/>
  <c r="I13" i="2"/>
  <c r="L13" i="2" s="1" a="1"/>
  <c r="L13" i="2" s="1"/>
  <c r="M13" i="2" s="1" a="1"/>
  <c r="M13" i="2" s="1"/>
  <c r="I14" i="2"/>
  <c r="L14" i="2" s="1" a="1"/>
  <c r="L14" i="2" s="1"/>
  <c r="M14" i="2" s="1" a="1"/>
  <c r="M14" i="2" s="1"/>
  <c r="I15" i="2"/>
  <c r="L15" i="2" s="1" a="1"/>
  <c r="L15" i="2" s="1"/>
  <c r="M15" i="2" s="1" a="1"/>
  <c r="M15" i="2" s="1"/>
  <c r="I16" i="2"/>
  <c r="L16" i="2" s="1" a="1"/>
  <c r="L16" i="2" s="1"/>
  <c r="M16" i="2" s="1" a="1"/>
  <c r="M16" i="2" s="1"/>
  <c r="I17" i="2"/>
  <c r="L17" i="2" s="1" a="1"/>
  <c r="L17" i="2" s="1"/>
  <c r="M17" i="2" s="1" a="1"/>
  <c r="M17" i="2" s="1"/>
  <c r="I18" i="2"/>
  <c r="L18" i="2" s="1" a="1"/>
  <c r="L18" i="2" s="1"/>
  <c r="M18" i="2" s="1" a="1"/>
  <c r="M18" i="2" s="1"/>
  <c r="I19" i="2"/>
  <c r="L19" i="2" s="1" a="1"/>
  <c r="L19" i="2" s="1"/>
  <c r="M19" i="2" s="1" a="1"/>
  <c r="M19" i="2" s="1"/>
  <c r="I20" i="2"/>
  <c r="L20" i="2" s="1" a="1"/>
  <c r="L20" i="2" s="1"/>
  <c r="M20" i="2" s="1" a="1"/>
  <c r="M20" i="2" s="1"/>
  <c r="I21" i="2"/>
  <c r="L21" i="2" s="1" a="1"/>
  <c r="L21" i="2" s="1"/>
  <c r="M21" i="2" s="1" a="1"/>
  <c r="M21" i="2" s="1"/>
  <c r="I22" i="2"/>
  <c r="L22" i="2" s="1" a="1"/>
  <c r="L22" i="2" s="1"/>
  <c r="M22" i="2" s="1" a="1"/>
  <c r="M22" i="2" s="1"/>
  <c r="I23" i="2"/>
  <c r="L23" i="2" s="1" a="1"/>
  <c r="L23" i="2" s="1"/>
  <c r="M23" i="2" s="1" a="1"/>
  <c r="M23" i="2" s="1"/>
  <c r="I24" i="2"/>
  <c r="L24" i="2" s="1" a="1"/>
  <c r="L24" i="2" s="1"/>
  <c r="M24" i="2" s="1" a="1"/>
  <c r="M24" i="2" s="1"/>
  <c r="I25" i="2"/>
  <c r="L25" i="2" s="1" a="1"/>
  <c r="L25" i="2" s="1"/>
  <c r="M25" i="2" s="1" a="1"/>
  <c r="M25" i="2" s="1"/>
  <c r="I26" i="2"/>
  <c r="L26" i="2" s="1" a="1"/>
  <c r="L26" i="2" s="1"/>
  <c r="M26" i="2" s="1" a="1"/>
  <c r="M26" i="2" s="1"/>
  <c r="I27" i="2"/>
  <c r="L27" i="2" s="1" a="1"/>
  <c r="L27" i="2" s="1"/>
  <c r="M27" i="2" s="1" a="1"/>
  <c r="M27" i="2" s="1"/>
  <c r="I28" i="2"/>
  <c r="L28" i="2" s="1" a="1"/>
  <c r="L28" i="2" s="1"/>
  <c r="M28" i="2" s="1" a="1"/>
  <c r="M28" i="2" s="1"/>
  <c r="I29" i="2"/>
  <c r="L29" i="2" s="1" a="1"/>
  <c r="L29" i="2" s="1"/>
  <c r="M29" i="2" s="1" a="1"/>
  <c r="M29" i="2" s="1"/>
  <c r="I30" i="2"/>
  <c r="L30" i="2" s="1" a="1"/>
  <c r="L30" i="2" s="1"/>
  <c r="M30" i="2" s="1" a="1"/>
  <c r="M30" i="2" s="1"/>
  <c r="I31" i="2"/>
  <c r="L31" i="2" s="1" a="1"/>
  <c r="L31" i="2" s="1"/>
  <c r="M31" i="2" s="1" a="1"/>
  <c r="M31" i="2" s="1"/>
  <c r="I32" i="2"/>
  <c r="L32" i="2" s="1" a="1"/>
  <c r="L32" i="2" s="1"/>
  <c r="M32" i="2" s="1" a="1"/>
  <c r="M32" i="2" s="1"/>
  <c r="I33" i="2"/>
  <c r="L33" i="2" s="1" a="1"/>
  <c r="L33" i="2" s="1"/>
  <c r="M33" i="2" s="1" a="1"/>
  <c r="M33" i="2" s="1"/>
  <c r="I34" i="2"/>
  <c r="L34" i="2" s="1" a="1"/>
  <c r="L34" i="2" s="1"/>
  <c r="M34" i="2" s="1" a="1"/>
  <c r="M34" i="2" s="1"/>
  <c r="I35" i="2"/>
  <c r="L35" i="2" s="1" a="1"/>
  <c r="L35" i="2" s="1"/>
  <c r="M35" i="2" s="1" a="1"/>
  <c r="M35" i="2" s="1"/>
  <c r="I36" i="2"/>
  <c r="L36" i="2" s="1" a="1"/>
  <c r="L36" i="2" s="1"/>
  <c r="M36" i="2" s="1" a="1"/>
  <c r="M36" i="2" s="1"/>
  <c r="I37" i="2"/>
  <c r="L37" i="2" s="1" a="1"/>
  <c r="L37" i="2" s="1"/>
  <c r="M37" i="2" s="1" a="1"/>
  <c r="M37" i="2" s="1"/>
  <c r="I38" i="2"/>
  <c r="L38" i="2" s="1" a="1"/>
  <c r="L38" i="2" s="1"/>
  <c r="M38" i="2" s="1" a="1"/>
  <c r="M38" i="2" s="1"/>
  <c r="I39" i="2"/>
  <c r="L39" i="2" s="1" a="1"/>
  <c r="L39" i="2" s="1"/>
  <c r="M39" i="2" s="1" a="1"/>
  <c r="M39" i="2" s="1"/>
  <c r="I40" i="2"/>
  <c r="L40" i="2" s="1" a="1"/>
  <c r="L40" i="2" s="1"/>
  <c r="M40" i="2" s="1" a="1"/>
  <c r="M40" i="2" s="1"/>
  <c r="I41" i="2"/>
  <c r="L41" i="2" s="1" a="1"/>
  <c r="L41" i="2" s="1"/>
  <c r="M41" i="2" s="1" a="1"/>
  <c r="M41" i="2" s="1"/>
  <c r="I42" i="2"/>
  <c r="L42" i="2" s="1" a="1"/>
  <c r="L42" i="2" s="1"/>
  <c r="M42" i="2" s="1" a="1"/>
  <c r="M42" i="2" s="1"/>
  <c r="I43" i="2"/>
  <c r="L43" i="2" s="1" a="1"/>
  <c r="L43" i="2" s="1"/>
  <c r="M43" i="2" s="1" a="1"/>
  <c r="M43" i="2" s="1"/>
  <c r="I44" i="2"/>
  <c r="L44" i="2" s="1" a="1"/>
  <c r="L44" i="2" s="1"/>
  <c r="M44" i="2" s="1" a="1"/>
  <c r="M44" i="2" s="1"/>
  <c r="I45" i="2"/>
  <c r="L45" i="2" s="1" a="1"/>
  <c r="L45" i="2" s="1"/>
  <c r="M45" i="2" s="1" a="1"/>
  <c r="M45" i="2" s="1"/>
  <c r="I46" i="2"/>
  <c r="L46" i="2" s="1" a="1"/>
  <c r="L46" i="2" s="1"/>
  <c r="M46" i="2" s="1" a="1"/>
  <c r="M46" i="2" s="1"/>
  <c r="I47" i="2"/>
  <c r="L47" i="2" s="1" a="1"/>
  <c r="L47" i="2" s="1"/>
  <c r="M47" i="2" s="1" a="1"/>
  <c r="M47" i="2" s="1"/>
  <c r="I48" i="2"/>
  <c r="L48" i="2" s="1" a="1"/>
  <c r="L48" i="2" s="1"/>
  <c r="M48" i="2" s="1" a="1"/>
  <c r="M48" i="2" s="1"/>
  <c r="I49" i="2"/>
  <c r="L49" i="2" s="1" a="1"/>
  <c r="L49" i="2" s="1"/>
  <c r="M49" i="2" s="1" a="1"/>
  <c r="M49" i="2" s="1"/>
  <c r="I50" i="2"/>
  <c r="L50" i="2" s="1" a="1"/>
  <c r="L50" i="2" s="1"/>
  <c r="M50" i="2" s="1" a="1"/>
  <c r="M50" i="2" s="1"/>
  <c r="I51" i="2"/>
  <c r="L51" i="2" s="1" a="1"/>
  <c r="L51" i="2" s="1"/>
  <c r="M51" i="2" s="1" a="1"/>
  <c r="M51" i="2" s="1"/>
  <c r="I52" i="2"/>
  <c r="L52" i="2" s="1" a="1"/>
  <c r="L52" i="2" s="1"/>
  <c r="M52" i="2" s="1" a="1"/>
  <c r="M52" i="2" s="1"/>
  <c r="I53" i="2"/>
  <c r="L53" i="2" s="1" a="1"/>
  <c r="L53" i="2" s="1"/>
  <c r="M53" i="2" s="1" a="1"/>
  <c r="M53" i="2" s="1"/>
  <c r="I54" i="2"/>
  <c r="L54" i="2" s="1" a="1"/>
  <c r="L54" i="2" s="1"/>
  <c r="M54" i="2" s="1" a="1"/>
  <c r="M54" i="2" s="1"/>
  <c r="I55" i="2"/>
  <c r="L55" i="2" s="1" a="1"/>
  <c r="L55" i="2" s="1"/>
  <c r="M55" i="2" s="1" a="1"/>
  <c r="M55" i="2" s="1"/>
  <c r="I56" i="2"/>
  <c r="L56" i="2" s="1" a="1"/>
  <c r="L56" i="2" s="1"/>
  <c r="M56" i="2" s="1" a="1"/>
  <c r="M56" i="2" s="1"/>
  <c r="I57" i="2"/>
  <c r="L57" i="2" s="1" a="1"/>
  <c r="L57" i="2" s="1"/>
  <c r="M57" i="2" s="1" a="1"/>
  <c r="M57" i="2" s="1"/>
  <c r="I58" i="2"/>
  <c r="L58" i="2" s="1" a="1"/>
  <c r="L58" i="2" s="1"/>
  <c r="M58" i="2" s="1" a="1"/>
  <c r="M58" i="2" s="1"/>
  <c r="I59" i="2"/>
  <c r="L59" i="2" s="1" a="1"/>
  <c r="L59" i="2" s="1"/>
  <c r="M59" i="2" s="1" a="1"/>
  <c r="M59" i="2" s="1"/>
  <c r="I60" i="2"/>
  <c r="L60" i="2" s="1" a="1"/>
  <c r="L60" i="2" s="1"/>
  <c r="M60" i="2" s="1" a="1"/>
  <c r="M60" i="2" s="1"/>
  <c r="I61" i="2"/>
  <c r="L61" i="2" s="1" a="1"/>
  <c r="L61" i="2" s="1"/>
  <c r="M61" i="2" s="1" a="1"/>
  <c r="M61" i="2" s="1"/>
  <c r="I62" i="2"/>
  <c r="L62" i="2" s="1" a="1"/>
  <c r="L62" i="2" s="1"/>
  <c r="M62" i="2" s="1" a="1"/>
  <c r="M62" i="2" s="1"/>
  <c r="I63" i="2"/>
  <c r="L63" i="2" s="1" a="1"/>
  <c r="L63" i="2" s="1"/>
  <c r="M63" i="2" s="1" a="1"/>
  <c r="M63" i="2" s="1"/>
  <c r="I64" i="2"/>
  <c r="L64" i="2" s="1" a="1"/>
  <c r="L64" i="2" s="1"/>
  <c r="M64" i="2" s="1" a="1"/>
  <c r="M64" i="2" s="1"/>
  <c r="I65" i="2"/>
  <c r="L65" i="2" s="1" a="1"/>
  <c r="L65" i="2" s="1"/>
  <c r="M65" i="2" s="1" a="1"/>
  <c r="M65" i="2" s="1"/>
  <c r="I66" i="2"/>
  <c r="L66" i="2" s="1" a="1"/>
  <c r="L66" i="2" s="1"/>
  <c r="M66" i="2" s="1" a="1"/>
  <c r="M66" i="2" s="1"/>
  <c r="I67" i="2"/>
  <c r="L67" i="2" s="1" a="1"/>
  <c r="L67" i="2" s="1"/>
  <c r="M67" i="2" s="1" a="1"/>
  <c r="M67" i="2" s="1"/>
  <c r="I68" i="2"/>
  <c r="L68" i="2" s="1" a="1"/>
  <c r="L68" i="2" s="1"/>
  <c r="M68" i="2" s="1" a="1"/>
  <c r="M68" i="2" s="1"/>
  <c r="I69" i="2"/>
  <c r="L69" i="2" s="1" a="1"/>
  <c r="L69" i="2" s="1"/>
  <c r="M69" i="2" s="1" a="1"/>
  <c r="M69" i="2" s="1"/>
  <c r="I70" i="2"/>
  <c r="L70" i="2" s="1" a="1"/>
  <c r="L70" i="2" s="1"/>
  <c r="M70" i="2" s="1" a="1"/>
  <c r="M70" i="2" s="1"/>
  <c r="I71" i="2"/>
  <c r="L71" i="2" s="1" a="1"/>
  <c r="L71" i="2" s="1"/>
  <c r="M71" i="2" s="1" a="1"/>
  <c r="M71" i="2" s="1"/>
  <c r="I72" i="2"/>
  <c r="L72" i="2" s="1" a="1"/>
  <c r="L72" i="2" s="1"/>
  <c r="M72" i="2" s="1" a="1"/>
  <c r="M72" i="2" s="1"/>
  <c r="I73" i="2"/>
  <c r="L73" i="2" s="1" a="1"/>
  <c r="L73" i="2" s="1"/>
  <c r="M73" i="2" s="1" a="1"/>
  <c r="M73" i="2" s="1"/>
  <c r="I74" i="2"/>
  <c r="L74" i="2" s="1" a="1"/>
  <c r="L74" i="2" s="1"/>
  <c r="M74" i="2" s="1" a="1"/>
  <c r="M74" i="2" s="1"/>
  <c r="I75" i="2"/>
  <c r="L75" i="2" s="1" a="1"/>
  <c r="L75" i="2" s="1"/>
  <c r="M75" i="2" s="1" a="1"/>
  <c r="M75" i="2" s="1"/>
  <c r="I76" i="2"/>
  <c r="L76" i="2" s="1" a="1"/>
  <c r="L76" i="2" s="1"/>
  <c r="M76" i="2" s="1" a="1"/>
  <c r="M76" i="2" s="1"/>
  <c r="I77" i="2"/>
  <c r="L77" i="2" s="1" a="1"/>
  <c r="L77" i="2" s="1"/>
  <c r="M77" i="2" s="1" a="1"/>
  <c r="M77" i="2" s="1"/>
  <c r="I78" i="2"/>
  <c r="L78" i="2" s="1" a="1"/>
  <c r="L78" i="2" s="1"/>
  <c r="M78" i="2" s="1" a="1"/>
  <c r="M78" i="2" s="1"/>
  <c r="I79" i="2"/>
  <c r="L79" i="2" s="1" a="1"/>
  <c r="L79" i="2" s="1"/>
  <c r="M79" i="2" s="1" a="1"/>
  <c r="M79" i="2" s="1"/>
  <c r="I80" i="2"/>
  <c r="L80" i="2" s="1" a="1"/>
  <c r="L80" i="2" s="1"/>
  <c r="M80" i="2" s="1" a="1"/>
  <c r="M80" i="2" s="1"/>
  <c r="I81" i="2"/>
  <c r="L81" i="2" s="1" a="1"/>
  <c r="L81" i="2" s="1"/>
  <c r="M81" i="2" s="1" a="1"/>
  <c r="M81" i="2" s="1"/>
  <c r="I82" i="2"/>
  <c r="L82" i="2" s="1" a="1"/>
  <c r="L82" i="2" s="1"/>
  <c r="M82" i="2" s="1" a="1"/>
  <c r="M82" i="2" s="1"/>
  <c r="I83" i="2"/>
  <c r="L83" i="2" s="1" a="1"/>
  <c r="L83" i="2" s="1"/>
  <c r="M83" i="2" s="1" a="1"/>
  <c r="M83" i="2" s="1"/>
  <c r="I84" i="2"/>
  <c r="L84" i="2" s="1" a="1"/>
  <c r="L84" i="2" s="1"/>
  <c r="M84" i="2" s="1" a="1"/>
  <c r="M84" i="2" s="1"/>
  <c r="I85" i="2"/>
  <c r="L85" i="2" s="1" a="1"/>
  <c r="L85" i="2" s="1"/>
  <c r="M85" i="2" s="1" a="1"/>
  <c r="M85" i="2" s="1"/>
  <c r="I86" i="2"/>
  <c r="L86" i="2" s="1" a="1"/>
  <c r="L86" i="2" s="1"/>
  <c r="M86" i="2" s="1" a="1"/>
  <c r="M86" i="2" s="1"/>
  <c r="I87" i="2"/>
  <c r="L87" i="2" s="1" a="1"/>
  <c r="L87" i="2" s="1"/>
  <c r="M87" i="2" s="1" a="1"/>
  <c r="M87" i="2" s="1"/>
  <c r="I88" i="2"/>
  <c r="L88" i="2" s="1" a="1"/>
  <c r="L88" i="2" s="1"/>
  <c r="M88" i="2" s="1" a="1"/>
  <c r="M88" i="2" s="1"/>
  <c r="I89" i="2"/>
  <c r="L89" i="2" s="1" a="1"/>
  <c r="L89" i="2" s="1"/>
  <c r="M89" i="2" s="1" a="1"/>
  <c r="M89" i="2" s="1"/>
  <c r="I90" i="2"/>
  <c r="L90" i="2" s="1" a="1"/>
  <c r="L90" i="2" s="1"/>
  <c r="M90" i="2" s="1" a="1"/>
  <c r="M90" i="2" s="1"/>
  <c r="I91" i="2"/>
  <c r="L91" i="2" s="1" a="1"/>
  <c r="L91" i="2" s="1"/>
  <c r="M91" i="2" s="1" a="1"/>
  <c r="M91" i="2" s="1"/>
  <c r="I92" i="2"/>
  <c r="L92" i="2" s="1" a="1"/>
  <c r="L92" i="2" s="1"/>
  <c r="M92" i="2" s="1" a="1"/>
  <c r="M92" i="2" s="1"/>
  <c r="I93" i="2"/>
  <c r="L93" i="2" s="1" a="1"/>
  <c r="L93" i="2" s="1"/>
  <c r="M93" i="2" s="1" a="1"/>
  <c r="M93" i="2" s="1"/>
  <c r="I94" i="2"/>
  <c r="L94" i="2" s="1" a="1"/>
  <c r="L94" i="2" s="1"/>
  <c r="M94" i="2" s="1" a="1"/>
  <c r="M94" i="2" s="1"/>
  <c r="I95" i="2"/>
  <c r="L95" i="2" s="1" a="1"/>
  <c r="L95" i="2" s="1"/>
  <c r="M95" i="2" s="1" a="1"/>
  <c r="M95" i="2" s="1"/>
  <c r="I96" i="2"/>
  <c r="L96" i="2" s="1" a="1"/>
  <c r="L96" i="2" s="1"/>
  <c r="M96" i="2" s="1" a="1"/>
  <c r="M96" i="2" s="1"/>
  <c r="I97" i="2"/>
  <c r="L97" i="2" s="1" a="1"/>
  <c r="L97" i="2" s="1"/>
  <c r="M97" i="2" s="1" a="1"/>
  <c r="M97" i="2" s="1"/>
  <c r="I98" i="2"/>
  <c r="L98" i="2" s="1" a="1"/>
  <c r="L98" i="2" s="1"/>
  <c r="M98" i="2" s="1" a="1"/>
  <c r="M98" i="2" s="1"/>
  <c r="I99" i="2"/>
  <c r="L99" i="2" s="1" a="1"/>
  <c r="L99" i="2" s="1"/>
  <c r="M99" i="2" s="1" a="1"/>
  <c r="M99" i="2" s="1"/>
  <c r="I100" i="2"/>
  <c r="L100" i="2" s="1" a="1"/>
  <c r="L100" i="2" s="1"/>
  <c r="M100" i="2" s="1" a="1"/>
  <c r="M100" i="2" s="1"/>
  <c r="I101" i="2"/>
  <c r="L101" i="2" s="1" a="1"/>
  <c r="L101" i="2" s="1"/>
  <c r="M101" i="2" s="1" a="1"/>
  <c r="M101" i="2" s="1"/>
  <c r="I102" i="2"/>
  <c r="L102" i="2" s="1" a="1"/>
  <c r="L102" i="2" s="1"/>
  <c r="M102" i="2" s="1" a="1"/>
  <c r="M102" i="2" s="1"/>
  <c r="I103" i="2"/>
  <c r="L103" i="2" s="1" a="1"/>
  <c r="L103" i="2" s="1"/>
  <c r="M103" i="2" s="1" a="1"/>
  <c r="M103" i="2" s="1"/>
  <c r="I104" i="2"/>
  <c r="L104" i="2" s="1" a="1"/>
  <c r="L104" i="2" s="1"/>
  <c r="M104" i="2" s="1" a="1"/>
  <c r="M104" i="2" s="1"/>
  <c r="I105" i="2"/>
  <c r="L105" i="2" s="1" a="1"/>
  <c r="L105" i="2" s="1"/>
  <c r="M105" i="2" s="1" a="1"/>
  <c r="M105" i="2" s="1"/>
  <c r="I106" i="2"/>
  <c r="L106" i="2" s="1" a="1"/>
  <c r="L106" i="2" s="1"/>
  <c r="M106" i="2" s="1" a="1"/>
  <c r="M106" i="2" s="1"/>
  <c r="I107" i="2"/>
  <c r="L107" i="2" s="1" a="1"/>
  <c r="L107" i="2" s="1"/>
  <c r="M107" i="2" s="1" a="1"/>
  <c r="M107" i="2" s="1"/>
  <c r="I108" i="2"/>
  <c r="L108" i="2" s="1" a="1"/>
  <c r="L108" i="2" s="1"/>
  <c r="M108" i="2" s="1" a="1"/>
  <c r="M108" i="2" s="1"/>
  <c r="I109" i="2"/>
  <c r="L109" i="2" s="1" a="1"/>
  <c r="L109" i="2" s="1"/>
  <c r="M109" i="2" s="1" a="1"/>
  <c r="M109" i="2" s="1"/>
  <c r="I110" i="2"/>
  <c r="L110" i="2" s="1" a="1"/>
  <c r="L110" i="2" s="1"/>
  <c r="M110" i="2" s="1" a="1"/>
  <c r="M110" i="2" s="1"/>
  <c r="I111" i="2"/>
  <c r="L111" i="2" s="1" a="1"/>
  <c r="L111" i="2" s="1"/>
  <c r="M111" i="2" s="1" a="1"/>
  <c r="M111" i="2" s="1"/>
  <c r="I112" i="2"/>
  <c r="L112" i="2" s="1" a="1"/>
  <c r="L112" i="2" s="1"/>
  <c r="M112" i="2" s="1" a="1"/>
  <c r="M112" i="2" s="1"/>
  <c r="I113" i="2"/>
  <c r="L113" i="2" s="1" a="1"/>
  <c r="L113" i="2" s="1"/>
  <c r="M113" i="2" s="1" a="1"/>
  <c r="M113" i="2" s="1"/>
  <c r="I114" i="2"/>
  <c r="L114" i="2" s="1" a="1"/>
  <c r="L114" i="2" s="1"/>
  <c r="M114" i="2" s="1" a="1"/>
  <c r="M114" i="2" s="1"/>
  <c r="I115" i="2"/>
  <c r="L115" i="2" s="1" a="1"/>
  <c r="L115" i="2" s="1"/>
  <c r="M115" i="2" s="1" a="1"/>
  <c r="M115" i="2" s="1"/>
  <c r="I116" i="2"/>
  <c r="L116" i="2" s="1" a="1"/>
  <c r="L116" i="2" s="1"/>
  <c r="M116" i="2" s="1" a="1"/>
  <c r="M116" i="2" s="1"/>
  <c r="I117" i="2"/>
  <c r="L117" i="2" s="1" a="1"/>
  <c r="L117" i="2" s="1"/>
  <c r="M117" i="2" s="1" a="1"/>
  <c r="M117" i="2" s="1"/>
  <c r="I118" i="2"/>
  <c r="L118" i="2" s="1" a="1"/>
  <c r="L118" i="2" s="1"/>
  <c r="M118" i="2" s="1" a="1"/>
  <c r="M118" i="2" s="1"/>
  <c r="I119" i="2"/>
  <c r="L119" i="2" s="1" a="1"/>
  <c r="L119" i="2" s="1"/>
  <c r="M119" i="2" s="1" a="1"/>
  <c r="M119" i="2" s="1"/>
  <c r="I120" i="2"/>
  <c r="L120" i="2" s="1" a="1"/>
  <c r="L120" i="2" s="1"/>
  <c r="M120" i="2" s="1" a="1"/>
  <c r="M120" i="2" s="1"/>
  <c r="I121" i="2"/>
  <c r="L121" i="2" s="1" a="1"/>
  <c r="L121" i="2" s="1"/>
  <c r="M121" i="2" s="1" a="1"/>
  <c r="M121" i="2" s="1"/>
  <c r="I122" i="2"/>
  <c r="L122" i="2" s="1" a="1"/>
  <c r="L122" i="2" s="1"/>
  <c r="M122" i="2" s="1" a="1"/>
  <c r="M122" i="2" s="1"/>
  <c r="I123" i="2"/>
  <c r="L123" i="2" s="1" a="1"/>
  <c r="L123" i="2" s="1"/>
  <c r="M123" i="2" s="1" a="1"/>
  <c r="M123" i="2" s="1"/>
  <c r="I124" i="2"/>
  <c r="L124" i="2" s="1" a="1"/>
  <c r="L124" i="2" s="1"/>
  <c r="M124" i="2" s="1" a="1"/>
  <c r="M124" i="2" s="1"/>
  <c r="I125" i="2"/>
  <c r="L125" i="2" s="1" a="1"/>
  <c r="L125" i="2" s="1"/>
  <c r="M125" i="2" s="1" a="1"/>
  <c r="M125" i="2" s="1"/>
  <c r="I126" i="2"/>
  <c r="L126" i="2" s="1" a="1"/>
  <c r="L126" i="2" s="1"/>
  <c r="M126" i="2" s="1" a="1"/>
  <c r="M126" i="2" s="1"/>
  <c r="I127" i="2"/>
  <c r="L127" i="2" s="1" a="1"/>
  <c r="L127" i="2" s="1"/>
  <c r="M127" i="2" s="1" a="1"/>
  <c r="M127" i="2" s="1"/>
  <c r="I128" i="2"/>
  <c r="L128" i="2" s="1" a="1"/>
  <c r="L128" i="2" s="1"/>
  <c r="M128" i="2" s="1" a="1"/>
  <c r="M128" i="2" s="1"/>
  <c r="I129" i="2"/>
  <c r="L129" i="2" s="1" a="1"/>
  <c r="L129" i="2" s="1"/>
  <c r="M129" i="2" s="1" a="1"/>
  <c r="M129" i="2" s="1"/>
  <c r="I130" i="2"/>
  <c r="L130" i="2" s="1" a="1"/>
  <c r="L130" i="2" s="1"/>
  <c r="M130" i="2" s="1" a="1"/>
  <c r="M130" i="2" s="1"/>
  <c r="I131" i="2"/>
  <c r="L131" i="2" s="1" a="1"/>
  <c r="L131" i="2" s="1"/>
  <c r="M131" i="2" s="1" a="1"/>
  <c r="M131" i="2" s="1"/>
  <c r="I132" i="2"/>
  <c r="L132" i="2" s="1" a="1"/>
  <c r="L132" i="2" s="1"/>
  <c r="M132" i="2" s="1" a="1"/>
  <c r="M132" i="2" s="1"/>
  <c r="I133" i="2"/>
  <c r="L133" i="2" s="1" a="1"/>
  <c r="L133" i="2" s="1"/>
  <c r="M133" i="2" s="1" a="1"/>
  <c r="M133" i="2" s="1"/>
  <c r="I134" i="2"/>
  <c r="L134" i="2" s="1" a="1"/>
  <c r="L134" i="2" s="1"/>
  <c r="M134" i="2" s="1" a="1"/>
  <c r="M134" i="2" s="1"/>
  <c r="I135" i="2"/>
  <c r="L135" i="2" s="1" a="1"/>
  <c r="L135" i="2" s="1"/>
  <c r="M135" i="2" s="1" a="1"/>
  <c r="M135" i="2" s="1"/>
  <c r="I136" i="2"/>
  <c r="L136" i="2" s="1" a="1"/>
  <c r="L136" i="2" s="1"/>
  <c r="M136" i="2" s="1" a="1"/>
  <c r="M136" i="2" s="1"/>
  <c r="I137" i="2"/>
  <c r="L137" i="2" s="1" a="1"/>
  <c r="L137" i="2" s="1"/>
  <c r="M137" i="2" s="1" a="1"/>
  <c r="M137" i="2" s="1"/>
  <c r="I138" i="2"/>
  <c r="L138" i="2" s="1" a="1"/>
  <c r="L138" i="2" s="1"/>
  <c r="M138" i="2" s="1" a="1"/>
  <c r="M138" i="2" s="1"/>
  <c r="I139" i="2"/>
  <c r="L139" i="2" s="1" a="1"/>
  <c r="L139" i="2" s="1"/>
  <c r="M139" i="2" s="1" a="1"/>
  <c r="M139" i="2" s="1"/>
  <c r="I140" i="2"/>
  <c r="L140" i="2" s="1" a="1"/>
  <c r="L140" i="2" s="1"/>
  <c r="M140" i="2" s="1" a="1"/>
  <c r="M140" i="2" s="1"/>
  <c r="I141" i="2"/>
  <c r="L141" i="2" s="1" a="1"/>
  <c r="L141" i="2" s="1"/>
  <c r="M141" i="2" s="1" a="1"/>
  <c r="M141" i="2" s="1"/>
  <c r="I142" i="2"/>
  <c r="L142" i="2" s="1" a="1"/>
  <c r="L142" i="2" s="1"/>
  <c r="M142" i="2" s="1" a="1"/>
  <c r="M142" i="2" s="1"/>
  <c r="I143" i="2"/>
  <c r="L143" i="2" s="1" a="1"/>
  <c r="L143" i="2" s="1"/>
  <c r="M143" i="2" s="1" a="1"/>
  <c r="M143" i="2" s="1"/>
  <c r="I144" i="2"/>
  <c r="L144" i="2" s="1" a="1"/>
  <c r="L144" i="2" s="1"/>
  <c r="M144" i="2" s="1" a="1"/>
  <c r="M144" i="2" s="1"/>
  <c r="I145" i="2"/>
  <c r="L145" i="2" s="1" a="1"/>
  <c r="L145" i="2" s="1"/>
  <c r="M145" i="2" s="1" a="1"/>
  <c r="M145" i="2" s="1"/>
  <c r="I146" i="2"/>
  <c r="L146" i="2" s="1" a="1"/>
  <c r="L146" i="2" s="1"/>
  <c r="M146" i="2" s="1" a="1"/>
  <c r="M146" i="2" s="1"/>
  <c r="I147" i="2"/>
  <c r="L147" i="2" s="1" a="1"/>
  <c r="L147" i="2" s="1"/>
  <c r="M147" i="2" s="1" a="1"/>
  <c r="M147" i="2" s="1"/>
  <c r="I148" i="2"/>
  <c r="L148" i="2" s="1" a="1"/>
  <c r="L148" i="2" s="1"/>
  <c r="M148" i="2" s="1" a="1"/>
  <c r="M148" i="2" s="1"/>
  <c r="I149" i="2"/>
  <c r="L149" i="2" s="1" a="1"/>
  <c r="L149" i="2" s="1"/>
  <c r="M149" i="2" s="1" a="1"/>
  <c r="M149" i="2" s="1"/>
  <c r="I150" i="2"/>
  <c r="L150" i="2" s="1" a="1"/>
  <c r="L150" i="2" s="1"/>
  <c r="M150" i="2" s="1" a="1"/>
  <c r="M150" i="2" s="1"/>
  <c r="I151" i="2"/>
  <c r="L151" i="2" s="1" a="1"/>
  <c r="L151" i="2" s="1"/>
  <c r="M151" i="2" s="1" a="1"/>
  <c r="M151" i="2" s="1"/>
  <c r="I152" i="2"/>
  <c r="L152" i="2" s="1" a="1"/>
  <c r="L152" i="2" s="1"/>
  <c r="M152" i="2" s="1" a="1"/>
  <c r="M152" i="2" s="1"/>
  <c r="I153" i="2"/>
  <c r="L153" i="2" s="1" a="1"/>
  <c r="L153" i="2" s="1"/>
  <c r="M153" i="2" s="1" a="1"/>
  <c r="M153" i="2" s="1"/>
  <c r="I154" i="2"/>
  <c r="L154" i="2" s="1" a="1"/>
  <c r="L154" i="2" s="1"/>
  <c r="M154" i="2" s="1" a="1"/>
  <c r="M154" i="2" s="1"/>
  <c r="I155" i="2"/>
  <c r="L155" i="2" s="1" a="1"/>
  <c r="L155" i="2" s="1"/>
  <c r="M155" i="2" s="1" a="1"/>
  <c r="M155" i="2" s="1"/>
  <c r="I156" i="2"/>
  <c r="L156" i="2" s="1" a="1"/>
  <c r="L156" i="2" s="1"/>
  <c r="M156" i="2" s="1" a="1"/>
  <c r="M156" i="2" s="1"/>
  <c r="I157" i="2"/>
  <c r="L157" i="2" s="1" a="1"/>
  <c r="L157" i="2" s="1"/>
  <c r="M157" i="2" s="1" a="1"/>
  <c r="M157" i="2" s="1"/>
  <c r="I158" i="2"/>
  <c r="L158" i="2" s="1" a="1"/>
  <c r="L158" i="2" s="1"/>
  <c r="M158" i="2" s="1" a="1"/>
  <c r="M158" i="2" s="1"/>
  <c r="I159" i="2"/>
  <c r="L159" i="2" s="1" a="1"/>
  <c r="L159" i="2" s="1"/>
  <c r="M159" i="2" s="1" a="1"/>
  <c r="M159" i="2" s="1"/>
  <c r="I160" i="2"/>
  <c r="L160" i="2" s="1" a="1"/>
  <c r="L160" i="2" s="1"/>
  <c r="M160" i="2" s="1" a="1"/>
  <c r="M160" i="2" s="1"/>
  <c r="I161" i="2"/>
  <c r="L161" i="2" s="1" a="1"/>
  <c r="L161" i="2" s="1"/>
  <c r="M161" i="2" s="1" a="1"/>
  <c r="M161" i="2" s="1"/>
  <c r="I162" i="2"/>
  <c r="L162" i="2" s="1" a="1"/>
  <c r="L162" i="2" s="1"/>
  <c r="M162" i="2" s="1" a="1"/>
  <c r="M162" i="2" s="1"/>
  <c r="I163" i="2"/>
  <c r="L163" i="2" s="1" a="1"/>
  <c r="L163" i="2" s="1"/>
  <c r="M163" i="2" s="1" a="1"/>
  <c r="M163" i="2" s="1"/>
  <c r="I164" i="2"/>
  <c r="L164" i="2" s="1" a="1"/>
  <c r="L164" i="2" s="1"/>
  <c r="M164" i="2" s="1" a="1"/>
  <c r="M164" i="2" s="1"/>
  <c r="I165" i="2"/>
  <c r="L165" i="2" s="1" a="1"/>
  <c r="L165" i="2" s="1"/>
  <c r="M165" i="2" s="1" a="1"/>
  <c r="M165" i="2" s="1"/>
  <c r="I166" i="2"/>
  <c r="L166" i="2" s="1" a="1"/>
  <c r="L166" i="2" s="1"/>
  <c r="M166" i="2" s="1" a="1"/>
  <c r="M166" i="2" s="1"/>
  <c r="I167" i="2"/>
  <c r="L167" i="2" s="1" a="1"/>
  <c r="L167" i="2" s="1"/>
  <c r="M167" i="2" s="1" a="1"/>
  <c r="M167" i="2" s="1"/>
  <c r="I168" i="2"/>
  <c r="L168" i="2" s="1" a="1"/>
  <c r="L168" i="2" s="1"/>
  <c r="M168" i="2" s="1" a="1"/>
  <c r="M168" i="2" s="1"/>
  <c r="I169" i="2"/>
  <c r="L169" i="2" s="1" a="1"/>
  <c r="L169" i="2" s="1"/>
  <c r="M169" i="2" s="1" a="1"/>
  <c r="M169" i="2" s="1"/>
  <c r="I170" i="2"/>
  <c r="L170" i="2" s="1" a="1"/>
  <c r="L170" i="2" s="1"/>
  <c r="M170" i="2" s="1" a="1"/>
  <c r="M170" i="2" s="1"/>
  <c r="I171" i="2"/>
  <c r="L171" i="2" s="1" a="1"/>
  <c r="L171" i="2" s="1"/>
  <c r="M171" i="2" s="1" a="1"/>
  <c r="M171" i="2" s="1"/>
  <c r="I172" i="2"/>
  <c r="L172" i="2" s="1" a="1"/>
  <c r="L172" i="2" s="1"/>
  <c r="M172" i="2" s="1" a="1"/>
  <c r="M172" i="2" s="1"/>
  <c r="I173" i="2"/>
  <c r="L173" i="2" s="1" a="1"/>
  <c r="L173" i="2" s="1"/>
  <c r="M173" i="2" s="1" a="1"/>
  <c r="M173" i="2" s="1"/>
  <c r="I174" i="2"/>
  <c r="L174" i="2" s="1" a="1"/>
  <c r="L174" i="2" s="1"/>
  <c r="M174" i="2" s="1" a="1"/>
  <c r="M174" i="2" s="1"/>
  <c r="I175" i="2"/>
  <c r="L175" i="2" s="1" a="1"/>
  <c r="L175" i="2" s="1"/>
  <c r="M175" i="2" s="1" a="1"/>
  <c r="M175" i="2" s="1"/>
  <c r="I176" i="2"/>
  <c r="L176" i="2" s="1" a="1"/>
  <c r="L176" i="2" s="1"/>
  <c r="M176" i="2" s="1" a="1"/>
  <c r="M176" i="2" s="1"/>
  <c r="I177" i="2"/>
  <c r="L177" i="2" s="1" a="1"/>
  <c r="L177" i="2" s="1"/>
  <c r="M177" i="2" s="1" a="1"/>
  <c r="M177" i="2" s="1"/>
  <c r="I178" i="2"/>
  <c r="L178" i="2" s="1" a="1"/>
  <c r="L178" i="2" s="1"/>
  <c r="M178" i="2" s="1" a="1"/>
  <c r="M178" i="2" s="1"/>
  <c r="I179" i="2"/>
  <c r="L179" i="2" s="1" a="1"/>
  <c r="L179" i="2" s="1"/>
  <c r="M179" i="2" s="1" a="1"/>
  <c r="M179" i="2" s="1"/>
  <c r="I180" i="2"/>
  <c r="L180" i="2" s="1" a="1"/>
  <c r="L180" i="2" s="1"/>
  <c r="M180" i="2" s="1" a="1"/>
  <c r="M180" i="2" s="1"/>
  <c r="I181" i="2"/>
  <c r="L181" i="2" s="1" a="1"/>
  <c r="L181" i="2" s="1"/>
  <c r="M181" i="2" s="1" a="1"/>
  <c r="M181" i="2" s="1"/>
  <c r="I182" i="2"/>
  <c r="L182" i="2" s="1" a="1"/>
  <c r="L182" i="2" s="1"/>
  <c r="M182" i="2" s="1" a="1"/>
  <c r="M182" i="2" s="1"/>
  <c r="I183" i="2"/>
  <c r="L183" i="2" s="1" a="1"/>
  <c r="L183" i="2" s="1"/>
  <c r="M183" i="2" s="1" a="1"/>
  <c r="M183" i="2" s="1"/>
  <c r="I184" i="2"/>
  <c r="L184" i="2" s="1" a="1"/>
  <c r="L184" i="2" s="1"/>
  <c r="M184" i="2" s="1" a="1"/>
  <c r="M184" i="2" s="1"/>
  <c r="I185" i="2"/>
  <c r="L185" i="2" s="1" a="1"/>
  <c r="L185" i="2" s="1"/>
  <c r="M185" i="2" s="1" a="1"/>
  <c r="M185" i="2" s="1"/>
  <c r="I186" i="2"/>
  <c r="L186" i="2" s="1" a="1"/>
  <c r="L186" i="2" s="1"/>
  <c r="M186" i="2" s="1" a="1"/>
  <c r="M186" i="2" s="1"/>
  <c r="I187" i="2"/>
  <c r="L187" i="2" s="1" a="1"/>
  <c r="L187" i="2" s="1"/>
  <c r="M187" i="2" s="1" a="1"/>
  <c r="M187" i="2" s="1"/>
  <c r="I188" i="2"/>
  <c r="L188" i="2" s="1" a="1"/>
  <c r="L188" i="2" s="1"/>
  <c r="M188" i="2" s="1" a="1"/>
  <c r="M188" i="2" s="1"/>
  <c r="I2" i="2"/>
  <c r="L2" i="2" s="1" a="1"/>
  <c r="L2" i="2" s="1"/>
  <c r="M2" i="2" s="1" a="1"/>
  <c r="M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<sst xmlns="http://schemas.openxmlformats.org/spreadsheetml/2006/main" count="1261" uniqueCount="237">
  <si>
    <t>Country/Region</t>
  </si>
  <si>
    <t>Confirmed</t>
  </si>
  <si>
    <t>Deaths</t>
  </si>
  <si>
    <t>Recovered</t>
  </si>
  <si>
    <t>Active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</si>
  <si>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</si>
  <si>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</si>
  <si>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</si>
  <si>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</si>
  <si>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</si>
  <si>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</si>
  <si>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</si>
  <si>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</si>
  <si>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</si>
  <si>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</si>
  <si>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</si>
  <si>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</si>
  <si>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</si>
  <si>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</si>
  <si>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</si>
  <si>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</si>
  <si>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</si>
  <si>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</si>
  <si>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</si>
  <si>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</si>
  <si>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</si>
  <si>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</si>
  <si>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</si>
  <si>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</si>
  <si>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</si>
  <si>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</si>
  <si>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</si>
  <si>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</si>
  <si>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</si>
  <si>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</si>
  <si>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</si>
  <si>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</si>
  <si>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</si>
  <si>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</si>
  <si>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</si>
  <si>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</si>
  <si>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</si>
  <si>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</si>
  <si>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</si>
  <si>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</si>
  <si>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</si>
  <si>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</si>
  <si>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</si>
  <si>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</si>
  <si>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</si>
  <si>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</si>
  <si>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</si>
  <si>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</si>
  <si>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</si>
  <si>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</si>
  <si>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</si>
  <si>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</si>
  <si>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</si>
  <si>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</si>
  <si>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</si>
  <si>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</si>
  <si>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</si>
  <si>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</si>
  <si>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</si>
  <si>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</si>
  <si>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</si>
  <si>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</si>
  <si>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</si>
  <si>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</si>
  <si>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</si>
  <si>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</si>
  <si>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</si>
  <si>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</si>
  <si>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</si>
  <si>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</si>
  <si>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</si>
  <si>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</si>
  <si>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</si>
  <si>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</si>
  <si>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</si>
  <si>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</si>
  <si>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</si>
  <si>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</si>
  <si>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</si>
  <si>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</si>
  <si>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</si>
  <si>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</si>
  <si>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</si>
  <si>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</si>
  <si>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</si>
  <si>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</si>
  <si>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</si>
  <si>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</si>
  <si>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</si>
  <si>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</si>
  <si>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</si>
  <si>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</si>
  <si>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</si>
  <si>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</si>
  <si>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</si>
  <si>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</si>
  <si>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</si>
  <si>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</si>
  <si>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</si>
  <si>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</si>
  <si>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</si>
  <si>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</si>
  <si>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</si>
  <si>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</si>
  <si>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</si>
  <si>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</si>
  <si>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</si>
  <si>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</si>
  <si>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</si>
  <si>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</si>
  <si>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</si>
  <si>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</si>
  <si>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</si>
  <si>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</si>
  <si>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</si>
  <si>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</si>
  <si>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</si>
  <si>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</si>
  <si>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</si>
  <si>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</si>
  <si>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</si>
  <si>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</si>
  <si>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</si>
  <si>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</si>
  <si>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</si>
  <si>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</si>
  <si>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</si>
  <si>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</si>
  <si>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</si>
  <si>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</si>
  <si>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</si>
  <si>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</si>
  <si>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</si>
  <si>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</si>
  <si>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</si>
  <si>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</si>
  <si>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</si>
  <si>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</si>
  <si>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</si>
  <si>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</si>
  <si>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</si>
  <si>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</si>
  <si>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</si>
  <si>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</si>
  <si>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</si>
  <si>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</si>
  <si>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</si>
  <si>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</si>
  <si>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</si>
  <si>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</si>
  <si>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</si>
  <si>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</si>
  <si>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</si>
  <si>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</si>
  <si>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</si>
  <si>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</si>
  <si>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</si>
  <si>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</si>
  <si>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</si>
  <si>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</si>
  <si>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</si>
  <si>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</si>
  <si>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</si>
  <si>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</si>
  <si>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</si>
  <si>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</si>
  <si>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</si>
  <si>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</si>
  <si>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</si>
  <si>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</si>
  <si>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</si>
  <si>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</si>
  <si>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</si>
  <si>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</si>
  <si>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</si>
  <si>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</si>
  <si>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</si>
  <si>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</si>
  <si>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</si>
  <si>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</si>
  <si>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</si>
  <si>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</si>
  <si>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</si>
  <si>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</si>
  <si>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</si>
  <si>
    <t>Taiwan</t>
  </si>
  <si>
    <t>Myanmar</t>
  </si>
  <si>
    <t>Population</t>
  </si>
  <si>
    <t>Continent</t>
  </si>
  <si>
    <t>Date of First Case</t>
  </si>
  <si>
    <t>Asia</t>
  </si>
  <si>
    <t>Europe</t>
  </si>
  <si>
    <t>Africa</t>
  </si>
  <si>
    <t>North America</t>
  </si>
  <si>
    <t>South America</t>
  </si>
  <si>
    <t>Australia/Oceania</t>
  </si>
  <si>
    <t>36263</t>
  </si>
  <si>
    <t>1269</t>
  </si>
  <si>
    <t>25198</t>
  </si>
  <si>
    <t>9796</t>
  </si>
  <si>
    <t>39009447</t>
  </si>
  <si>
    <t> 17224679</t>
  </si>
  <si>
    <t>death %</t>
  </si>
  <si>
    <t>recovery rate %</t>
  </si>
  <si>
    <t>infection rate %</t>
  </si>
  <si>
    <t>icon set</t>
  </si>
  <si>
    <t>risk label</t>
  </si>
  <si>
    <t>Row Labels</t>
  </si>
  <si>
    <t>(blank)</t>
  </si>
  <si>
    <t>Grand Total</t>
  </si>
  <si>
    <t>Count of Confirmed</t>
  </si>
  <si>
    <t>Sum of Confirmed</t>
  </si>
  <si>
    <t>Sum of Recovered</t>
  </si>
  <si>
    <t>&lt;17-11-2019</t>
  </si>
  <si>
    <t>Jan</t>
  </si>
  <si>
    <t>Feb</t>
  </si>
  <si>
    <t>Mar</t>
  </si>
  <si>
    <t>Apr</t>
  </si>
  <si>
    <t>May</t>
  </si>
  <si>
    <t>Nov</t>
  </si>
  <si>
    <t>Dec</t>
  </si>
  <si>
    <t>Count of death %</t>
  </si>
  <si>
    <t>Asia continent had the highest average recovery rate.</t>
  </si>
  <si>
    <t>|| BRAINSTORMING QUESTIONS ||</t>
  </si>
  <si>
    <t>1. Which continent had the highest average recovery rate?</t>
  </si>
  <si>
    <t>2. Which countries fall into the High Risk category based on your logic?</t>
  </si>
  <si>
    <t>3. How did population size relate to the number of confirmed cases?</t>
  </si>
  <si>
    <t>4. Which country appears to have handled the pandemic most efficiently?</t>
  </si>
  <si>
    <t>5. What kind of visualization was most helpful to communicate critical data?</t>
  </si>
  <si>
    <t>Pivot Table visualization was most helpful to communicate critical data.</t>
  </si>
  <si>
    <t>The population size is directly related to the number of confirmed cases because as the population increases the confirmed cases will also increases because of covid 19 pandemic</t>
  </si>
  <si>
    <t>Dominicia, Grenada, Holy 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</si>
</sst>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8"/>
      <name val="Agency FB"/>
      <family val="2"/>
    </font>
    <font>
      <sz val="14"/>
      <color theme="1"/>
      <name val="Aptos Narrow"/>
      <family val="2"/>
      <scheme val="minor"/>
    </font>
    <font>
      <sz val="14"/>
      <color rgb="FF00B05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5" fontId="0" fillId="0" borderId="0" xfId="0" applyNumberFormat="1"/>
    <xf numFmtId="0" fontId="0" fillId="0" borderId="0" xfId="0" applyAlignment="1">
      <alignment horizontal="right" indent="1"/>
    </xf>
    <xf numFmtId="1" fontId="0" fillId="0" borderId="0" xfId="0" applyNumberFormat="1" applyAlignment="1">
      <alignment horizontal="right" indent="1"/>
    </xf>
    <xf numFmtId="14" fontId="0" fillId="0" borderId="0" xfId="0" applyNumberFormat="1" applyAlignment="1">
      <alignment horizontal="right" indent="1"/>
    </xf>
    <xf numFmtId="0" fontId="1" fillId="2" borderId="2" xfId="0" applyFont="1" applyFill="1" applyBorder="1" applyAlignment="1">
      <alignment horizontal="left" vertical="center" indent="1"/>
    </xf>
    <xf numFmtId="0" fontId="0" fillId="3" borderId="2" xfId="0" applyFill="1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3" borderId="5" xfId="0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right" vertical="center"/>
    </xf>
    <xf numFmtId="1" fontId="1" fillId="2" borderId="2" xfId="0" applyNumberFormat="1" applyFont="1" applyFill="1" applyBorder="1" applyAlignment="1">
      <alignment horizontal="right" vertical="center"/>
    </xf>
    <xf numFmtId="14" fontId="2" fillId="2" borderId="3" xfId="0" applyNumberFormat="1" applyFont="1" applyFill="1" applyBorder="1" applyAlignment="1">
      <alignment horizontal="right" vertical="center"/>
    </xf>
    <xf numFmtId="0" fontId="0" fillId="3" borderId="2" xfId="0" applyFill="1" applyBorder="1" applyAlignment="1">
      <alignment horizontal="right" vertical="center"/>
    </xf>
    <xf numFmtId="164" fontId="0" fillId="3" borderId="3" xfId="0" applyNumberFormat="1" applyFill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1" fontId="0" fillId="3" borderId="2" xfId="0" applyNumberFormat="1" applyFill="1" applyBorder="1" applyAlignment="1">
      <alignment horizontal="right" vertical="center"/>
    </xf>
    <xf numFmtId="1" fontId="0" fillId="0" borderId="2" xfId="0" applyNumberFormat="1" applyBorder="1" applyAlignment="1">
      <alignment horizontal="right" vertical="center"/>
    </xf>
    <xf numFmtId="3" fontId="0" fillId="0" borderId="4" xfId="0" applyNumberFormat="1" applyBorder="1" applyAlignment="1">
      <alignment vertical="center"/>
    </xf>
    <xf numFmtId="0" fontId="0" fillId="3" borderId="5" xfId="0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0" fontId="0" fillId="0" borderId="0" xfId="0" applyAlignment="1">
      <alignment horizontal="left" indent="2"/>
    </xf>
    <xf numFmtId="0" fontId="0" fillId="0" borderId="0" xfId="0" applyAlignment="1">
      <alignment horizontal="left" vertical="center" indent="3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[Covid-19 project.xlsx]column chart!PivotTable3</c:name>
    <c:fmtId val="9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Sum of Confirmed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'column chart'!$A$4:$A$14</c:f>
              <c:strCache>
                <c:ptCount val="10"/>
                <c:pt idx="0">
                  <c:v>Brazil</c:v>
                </c:pt>
                <c:pt idx="1">
                  <c:v>Chile</c:v>
                </c:pt>
                <c:pt idx="2">
                  <c:v>India</c:v>
                </c:pt>
                <c:pt idx="3">
                  <c:v>Iran</c:v>
                </c:pt>
                <c:pt idx="4">
                  <c:v>Mexico</c:v>
                </c:pt>
                <c:pt idx="5">
                  <c:v>Peru</c:v>
                </c:pt>
                <c:pt idx="6">
                  <c:v>Russia</c:v>
                </c:pt>
                <c:pt idx="7">
                  <c:v>South Africa</c:v>
                </c:pt>
                <c:pt idx="8">
                  <c:v>United Kingdom</c:v>
                </c:pt>
                <c:pt idx="9">
                  <c:v>US</c:v>
                </c:pt>
              </c:strCache>
            </c:strRef>
          </c:cat>
          <c:val>
            <c:numRef>
              <c:f>'column chart'!$B$4:$B$14</c:f>
              <c:numCache>
                <c:formatCode>General</c:formatCode>
                <c:ptCount val="10"/>
                <c:pt idx="0">
                  <c:v>2442375</c:v>
                </c:pt>
                <c:pt idx="1">
                  <c:v>347923</c:v>
                </c:pt>
                <c:pt idx="2">
                  <c:v>1480073</c:v>
                </c:pt>
                <c:pt idx="3">
                  <c:v>293606</c:v>
                </c:pt>
                <c:pt idx="4">
                  <c:v>395489</c:v>
                </c:pt>
                <c:pt idx="5">
                  <c:v>389717</c:v>
                </c:pt>
                <c:pt idx="6">
                  <c:v>816680</c:v>
                </c:pt>
                <c:pt idx="7">
                  <c:v>452529</c:v>
                </c:pt>
                <c:pt idx="8">
                  <c:v>301708</c:v>
                </c:pt>
                <c:pt idx="9">
                  <c:v>4290259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E-42BC-9341-0A42DD14611F}"/>
            </c:ext>
          </c:extLst>
        </c:ser>
        <c:ser>
          <c:idx val="1"/>
          <c:order val="1"/>
          <c:tx>
            <c:strRef>
              <c:f>'column chart'!$C$3</c:f>
              <c:strCache>
                <c:ptCount val="1"/>
                <c:pt idx="0">
                  <c:v>Sum of Recovered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'column chart'!$A$4:$A$14</c:f>
              <c:strCache>
                <c:ptCount val="10"/>
                <c:pt idx="0">
                  <c:v>Brazil</c:v>
                </c:pt>
                <c:pt idx="1">
                  <c:v>Chile</c:v>
                </c:pt>
                <c:pt idx="2">
                  <c:v>India</c:v>
                </c:pt>
                <c:pt idx="3">
                  <c:v>Iran</c:v>
                </c:pt>
                <c:pt idx="4">
                  <c:v>Mexico</c:v>
                </c:pt>
                <c:pt idx="5">
                  <c:v>Peru</c:v>
                </c:pt>
                <c:pt idx="6">
                  <c:v>Russia</c:v>
                </c:pt>
                <c:pt idx="7">
                  <c:v>South Africa</c:v>
                </c:pt>
                <c:pt idx="8">
                  <c:v>United Kingdom</c:v>
                </c:pt>
                <c:pt idx="9">
                  <c:v>US</c:v>
                </c:pt>
              </c:strCache>
            </c:strRef>
          </c:cat>
          <c:val>
            <c:numRef>
              <c:f>'column chart'!$C$4:$C$14</c:f>
              <c:numCache>
                <c:formatCode>General</c:formatCode>
                <c:ptCount val="10"/>
                <c:pt idx="0">
                  <c:v>1846641</c:v>
                </c:pt>
                <c:pt idx="1">
                  <c:v>319954</c:v>
                </c:pt>
                <c:pt idx="2">
                  <c:v>951166</c:v>
                </c:pt>
                <c:pt idx="3">
                  <c:v>255144</c:v>
                </c:pt>
                <c:pt idx="4">
                  <c:v>303810</c:v>
                </c:pt>
                <c:pt idx="5">
                  <c:v>272547</c:v>
                </c:pt>
                <c:pt idx="6">
                  <c:v>602249</c:v>
                </c:pt>
                <c:pt idx="7">
                  <c:v>274925</c:v>
                </c:pt>
                <c:pt idx="8">
                  <c:v>1437</c:v>
                </c:pt>
                <c:pt idx="9">
                  <c:v>1325804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1E-42BC-9341-0A42DD146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38149327"/>
        <c:axId val="338141647"/>
      </c:barChart>
      <c:catAx>
        <c:axId val="33814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141647"/>
        <c:crosses val="autoZero"/>
        <c:auto val="1"/>
        <c:lblAlgn val="ctr"/>
        <c:lblOffset val="100"/>
        <c:noMultiLvlLbl val="0"/>
      </c:catAx>
      <c:valAx>
        <c:axId val="338141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14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tint val="66000"/>
        <a:satMod val="16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[Covid-19 project.xlsx]line chart!PivotTable4</c:name>
    <c:fmtId val="0"/>
  </c:pivotSource>
  <c:chart>
    <c:autoTitleDeleted val="1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'line chart'!$A$4:$A$12</c:f>
              <c:strCache>
                <c:ptCount val="8"/>
                <c:pt idx="0">
                  <c:v>&lt;17-11-2019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Nov</c:v>
                </c:pt>
                <c:pt idx="7">
                  <c:v>Dec</c:v>
                </c:pt>
              </c:strCache>
            </c:strRef>
          </c:cat>
          <c:val>
            <c:numRef>
              <c:f>'line chart'!$B$4:$B$12</c:f>
              <c:numCache>
                <c:formatCode>General</c:formatCode>
                <c:ptCount val="8"/>
                <c:pt idx="1">
                  <c:v>8097972</c:v>
                </c:pt>
                <c:pt idx="2">
                  <c:v>4529239</c:v>
                </c:pt>
                <c:pt idx="3">
                  <c:v>3493247</c:v>
                </c:pt>
                <c:pt idx="4">
                  <c:v>16124</c:v>
                </c:pt>
                <c:pt idx="5">
                  <c:v>505</c:v>
                </c:pt>
                <c:pt idx="6">
                  <c:v>86783</c:v>
                </c:pt>
                <c:pt idx="7">
                  <c:v>220352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94-4D66-824D-B78ED2A4E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9908720"/>
        <c:axId val="1569909680"/>
      </c:lineChart>
      <c:catAx>
        <c:axId val="156990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909680"/>
        <c:crosses val="autoZero"/>
        <c:auto val="1"/>
        <c:lblAlgn val="ctr"/>
        <c:lblOffset val="100"/>
        <c:noMultiLvlLbl val="0"/>
      </c:catAx>
      <c:valAx>
        <c:axId val="1569909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90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[Covid-19 project.xlsx]pie chart!PivotTable5</c:name>
    <c:fmtId val="0"/>
  </c:pivotSource>
  <c:chart>
    <c:autoTitleDeleted val="1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F408-4171-86D5-3B35538793FF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F408-4171-86D5-3B35538793FF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F408-4171-86D5-3B35538793FF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F408-4171-86D5-3B35538793FF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F408-4171-86D5-3B35538793FF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F408-4171-86D5-3B35538793FF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F408-4171-86D5-3B35538793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chart'!$A$4:$A$11</c:f>
              <c:strCache>
                <c:ptCount val="7"/>
                <c:pt idx="0">
                  <c:v>Africa</c:v>
                </c:pt>
                <c:pt idx="1">
                  <c:v>Asia</c:v>
                </c:pt>
                <c:pt idx="2">
                  <c:v>Australia/Oceania</c:v>
                </c:pt>
                <c:pt idx="3">
                  <c:v>Europe</c:v>
                </c:pt>
                <c:pt idx="4">
                  <c:v>North America</c:v>
                </c:pt>
                <c:pt idx="5">
                  <c:v>South America</c:v>
                </c:pt>
                <c:pt idx="6">
                  <c:v>(blank)</c:v>
                </c:pt>
              </c:strCache>
            </c:strRef>
          </c:cat>
          <c:val>
            <c:numRef>
              <c:f>'pie chart'!$B$4:$B$11</c:f>
              <c:numCache>
                <c:formatCode>General</c:formatCode>
                <c:ptCount val="7"/>
                <c:pt idx="0">
                  <c:v>947320</c:v>
                </c:pt>
                <c:pt idx="1">
                  <c:v>3910011</c:v>
                </c:pt>
                <c:pt idx="2">
                  <c:v>16949</c:v>
                </c:pt>
                <c:pt idx="3">
                  <c:v>2792084</c:v>
                </c:pt>
                <c:pt idx="4">
                  <c:v>4997374</c:v>
                </c:pt>
                <c:pt idx="5">
                  <c:v>3780484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8-45CF-93D2-E967AE78ACC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[Covid-19 project.xlsx]combo chart!PivotTable6</c:name>
    <c:fmtId val="0"/>
  </c:pivotSource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chart'!$B$3</c:f>
              <c:strCache>
                <c:ptCount val="1"/>
                <c:pt idx="0">
                  <c:v>Count of Confirmed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'combo chart'!$A$4:$A$12</c:f>
              <c:strCache>
                <c:ptCount val="8"/>
                <c:pt idx="0">
                  <c:v>&lt;17-11-2019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Nov</c:v>
                </c:pt>
                <c:pt idx="7">
                  <c:v>Dec</c:v>
                </c:pt>
              </c:strCache>
            </c:strRef>
          </c:cat>
          <c:val>
            <c:numRef>
              <c:f>'combo chart'!$B$4:$B$12</c:f>
              <c:numCache>
                <c:formatCode>General</c:formatCode>
                <c:ptCount val="8"/>
                <c:pt idx="1">
                  <c:v>22</c:v>
                </c:pt>
                <c:pt idx="2">
                  <c:v>38</c:v>
                </c:pt>
                <c:pt idx="3">
                  <c:v>117</c:v>
                </c:pt>
                <c:pt idx="4">
                  <c:v>7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A-42DD-A3B3-61749DE89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9887120"/>
        <c:axId val="1569887600"/>
      </c:barChart>
      <c:lineChart>
        <c:grouping val="standard"/>
        <c:varyColors val="0"/>
        <c:ser>
          <c:idx val="1"/>
          <c:order val="1"/>
          <c:tx>
            <c:strRef>
              <c:f>'combo chart'!$C$3</c:f>
              <c:strCache>
                <c:ptCount val="1"/>
                <c:pt idx="0">
                  <c:v>Count of death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strRef>
              <c:f>'combo chart'!$A$4:$A$12</c:f>
              <c:strCache>
                <c:ptCount val="8"/>
                <c:pt idx="0">
                  <c:v>&lt;17-11-2019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Nov</c:v>
                </c:pt>
                <c:pt idx="7">
                  <c:v>Dec</c:v>
                </c:pt>
              </c:strCache>
            </c:strRef>
          </c:cat>
          <c:val>
            <c:numRef>
              <c:f>'combo chart'!$C$4:$C$12</c:f>
              <c:numCache>
                <c:formatCode>General</c:formatCode>
                <c:ptCount val="8"/>
                <c:pt idx="1">
                  <c:v>22</c:v>
                </c:pt>
                <c:pt idx="2">
                  <c:v>38</c:v>
                </c:pt>
                <c:pt idx="3">
                  <c:v>117</c:v>
                </c:pt>
                <c:pt idx="4">
                  <c:v>7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4A-42DD-A3B3-61749DE89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9887120"/>
        <c:axId val="1569887600"/>
      </c:lineChart>
      <c:catAx>
        <c:axId val="156988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887600"/>
        <c:crosses val="autoZero"/>
        <c:auto val="1"/>
        <c:lblAlgn val="ctr"/>
        <c:lblOffset val="100"/>
        <c:noMultiLvlLbl val="0"/>
      </c:catAx>
      <c:valAx>
        <c:axId val="156988760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88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330200</xdr:colOff>
      <xdr:row>1</xdr:row>
      <xdr:rowOff>165100</xdr:rowOff>
    </xdr:from>
    <xdr:to>
      <xdr:col>11</xdr:col>
      <xdr:colOff>25400</xdr:colOff>
      <xdr:row>16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045DDA-8968-EBDD-8166-D82D51171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</xdr:row>
      <xdr:rowOff>139700</xdr:rowOff>
    </xdr:from>
    <xdr:to>
      <xdr:col>11</xdr:col>
      <xdr:colOff>76200</xdr:colOff>
      <xdr:row>16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85C4A2-2583-0CDE-E793-6773C3918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292100</xdr:colOff>
      <xdr:row>2</xdr:row>
      <xdr:rowOff>139700</xdr:rowOff>
    </xdr:from>
    <xdr:to>
      <xdr:col>10</xdr:col>
      <xdr:colOff>596900</xdr:colOff>
      <xdr:row>17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80B026-235E-8778-6C32-59F4222B8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241300</xdr:colOff>
      <xdr:row>1</xdr:row>
      <xdr:rowOff>44450</xdr:rowOff>
    </xdr:from>
    <xdr:to>
      <xdr:col>10</xdr:col>
      <xdr:colOff>203200</xdr:colOff>
      <xdr:row>16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9246D6-F6FD-0BD0-E878-CE0011C9F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SH" refreshedDate="45955.632352777779" createdVersion="8" refreshedVersion="8" minRefreshableVersion="3" recordCount="188" xr:uid="{77AE323F-A5C8-45CC-889B-F5261439D15E}">
  <cacheSource type="worksheet">
    <worksheetSource ref="A1:M1048576" sheet="solved "/>
  </cacheSource>
  <cacheFields count="16">
    <cacheField name="Country/Region" numFmtId="0">
      <sharedItems containsBlank="1" count="188">
        <s v="Afghanistan"/>
        <s v="Albania"/>
        <s v="Algeria"/>
        <s v="Andorra"/>
        <s v="Angola"/>
        <s v="Antigua and Barbuda"/>
        <s v="Argentina"/>
        <s v="Armen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hutan"/>
        <s v="Bolivia"/>
        <s v="Bosnia and Herzegovina"/>
        <s v="Botswana"/>
        <s v="Brazil"/>
        <s v="Brunei"/>
        <s v="Bulgaria"/>
        <s v="Burkina Faso"/>
        <s v="Myanmar"/>
        <s v="Burundi"/>
        <s v="Cabo Verde"/>
        <s v="Cambodia"/>
        <s v="Cameroon"/>
        <s v="Canada"/>
        <s v="Central African Republic"/>
        <s v="Chad"/>
        <s v="Chile"/>
        <s v="China"/>
        <s v="Colombia"/>
        <s v="Comoros"/>
        <s v="Congo (Brazzaville)"/>
        <s v="Congo (Kinshasa)"/>
        <s v="Costa Rica"/>
        <s v="Cote d'Ivoire"/>
        <s v="Croatia"/>
        <s v="Cuba"/>
        <s v="Cyprus"/>
        <s v="Czechia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iji"/>
        <s v="Finland"/>
        <s v="France"/>
        <s v="Gabon"/>
        <s v="Gambia"/>
        <s v="Georgia"/>
        <s v="Germany"/>
        <s v="Ghana"/>
        <s v="Greece"/>
        <s v="Greenland"/>
        <s v="Grenada"/>
        <s v="Guatemala"/>
        <s v="Guinea"/>
        <s v="Guinea-Bissau"/>
        <s v="Guyana"/>
        <s v="Haiti"/>
        <s v="Holy See"/>
        <s v="Honduras"/>
        <s v="Hungary"/>
        <s v="Iceland"/>
        <s v="India"/>
        <s v="Indonesia"/>
        <s v="Iran"/>
        <s v="Iraq"/>
        <s v="Ireland"/>
        <s v="Israel"/>
        <s v="Italy"/>
        <s v="Jamaica"/>
        <s v="Japan"/>
        <s v="Jordan"/>
        <s v="Kazakhstan"/>
        <s v="Kenya"/>
        <s v="Kosovo"/>
        <s v="Kuwait"/>
        <s v="Kyrgyzstan"/>
        <s v="Laos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uritania"/>
        <s v="Mauritius"/>
        <s v="Mexico"/>
        <s v="Moldova"/>
        <s v="Monaco"/>
        <s v="Mongolia"/>
        <s v="Montenegro"/>
        <s v="Morocco"/>
        <s v="Mozambique"/>
        <s v="Namibia"/>
        <s v="Nepal"/>
        <s v="Netherlands"/>
        <s v="New Zealand"/>
        <s v="Nicaragua"/>
        <s v="Niger"/>
        <s v="Nigeria"/>
        <s v="North Macedonia"/>
        <s v="Norway"/>
        <s v="Oman"/>
        <s v="Pakistan"/>
        <s v="Panama"/>
        <s v="Papua New Guinea"/>
        <s v="Paraguay"/>
        <s v="Peru"/>
        <s v="Philippines"/>
        <s v="Poland"/>
        <s v="Portugal"/>
        <s v="Qatar"/>
        <s v="Romania"/>
        <s v="Russia"/>
        <s v="Rwanda"/>
        <s v="Saint Kitts and Nevis"/>
        <s v="Saint Lucia"/>
        <s v="Saint Vincent and the Grenadines"/>
        <s v="San Marino"/>
        <s v="Sao Tome and Principe"/>
        <s v="Saudi Arabia"/>
        <s v="Senegal"/>
        <s v="Serbia"/>
        <s v="Seychelles"/>
        <s v="Sierra Leone"/>
        <s v="Singapore"/>
        <s v="Slovakia"/>
        <s v="Slovenia"/>
        <s v="Somalia"/>
        <s v="South Africa"/>
        <s v="South Korea"/>
        <s v="South Sudan"/>
        <s v="Spain"/>
        <s v="Sri Lanka"/>
        <s v="Sudan"/>
        <s v="Suriname"/>
        <s v="Sweden"/>
        <s v="Switzerland"/>
        <s v="Syria"/>
        <s v="Taiwan"/>
        <s v="Tajikistan"/>
        <s v="Tanzania"/>
        <s v="Thailand"/>
        <s v="Timor-Leste"/>
        <s v="Togo"/>
        <s v="Trinidad and Tobago"/>
        <s v="Tunisia"/>
        <s v="Turkey"/>
        <s v="US"/>
        <s v="Uganda"/>
        <s v="Ukraine"/>
        <s v="United Arab Emirates"/>
        <s v="United Kingdom"/>
        <s v="Uruguay"/>
        <s v="Uzbekistan"/>
        <s v="Venezuela"/>
        <s v="Vietnam"/>
        <s v="West Bank and Gaza"/>
        <s v="Western Sahara"/>
        <s v="Yemen"/>
        <s v="Zambia"/>
        <s v="Zimbabwe"/>
        <m/>
      </sharedItems>
    </cacheField>
    <cacheField name="Confirmed" numFmtId="0">
      <sharedItems containsBlank="1" containsMixedTypes="1" containsNumber="1" containsInteger="1" minValue="10" maxValue="4290259"/>
    </cacheField>
    <cacheField name="Deaths" numFmtId="0">
      <sharedItems containsBlank="1" containsMixedTypes="1" containsNumber="1" containsInteger="1" minValue="0" maxValue="148011"/>
    </cacheField>
    <cacheField name="Recovered" numFmtId="0">
      <sharedItems containsBlank="1" containsMixedTypes="1" containsNumber="1" containsInteger="1" minValue="0" maxValue="1846641"/>
    </cacheField>
    <cacheField name="Active" numFmtId="0">
      <sharedItems containsBlank="1" containsMixedTypes="1" containsNumber="1" containsInteger="1" minValue="0" maxValue="2816444"/>
    </cacheField>
    <cacheField name="Population" numFmtId="0">
      <sharedItems containsBlank="1" containsMixedTypes="1" containsNumber="1" containsInteger="1" minValue="528" maxValue="1411778724"/>
    </cacheField>
    <cacheField name="Continent" numFmtId="0">
      <sharedItems containsBlank="1" count="7">
        <s v="Asia"/>
        <s v="Europe"/>
        <s v="Africa"/>
        <s v="North America"/>
        <s v="South America"/>
        <s v="Australia/Oceania"/>
        <m/>
      </sharedItems>
    </cacheField>
    <cacheField name="Date of First Case" numFmtId="0">
      <sharedItems containsNonDate="0" containsDate="1" containsString="0" containsBlank="1" minDate="2019-11-17T00:00:00" maxDate="2020-05-14T00:00:00" count="58">
        <d v="2020-02-24T00:00:00"/>
        <d v="2020-03-09T00:00:00"/>
        <d v="2020-02-25T00:00:00"/>
        <d v="2020-03-02T00:00:00"/>
        <d v="2020-03-21T00:00:00"/>
        <d v="2020-03-13T00:00:00"/>
        <d v="2020-03-03T00:00:00"/>
        <d v="2020-03-01T00:00:00"/>
        <d v="2020-01-25T00:00:00"/>
        <d v="2020-02-28T00:00:00"/>
        <d v="2020-03-15T00:00:00"/>
        <d v="2020-02-21T00:00:00"/>
        <d v="2020-03-08T00:00:00"/>
        <d v="2020-03-17T00:00:00"/>
        <d v="2020-02-04T00:00:00"/>
        <d v="2020-03-23T00:00:00"/>
        <d v="2020-03-16T00:00:00"/>
        <d v="2020-03-06T00:00:00"/>
        <d v="2020-03-10T00:00:00"/>
        <d v="2020-03-05T00:00:00"/>
        <d v="2020-03-30T00:00:00"/>
        <d v="2020-02-26T00:00:00"/>
        <d v="2020-03-31T00:00:00"/>
        <d v="2020-03-20T00:00:00"/>
        <d v="2020-01-27T00:00:00"/>
        <d v="2020-03-14T00:00:00"/>
        <d v="2020-03-19T00:00:00"/>
        <d v="2019-11-17T00:00:00"/>
        <d v="2020-04-30T00:00:00"/>
        <d v="2020-03-11T00:00:00"/>
        <d v="2020-02-27T00:00:00"/>
        <d v="2020-03-18T00:00:00"/>
        <d v="2020-03-22T00:00:00"/>
        <d v="2020-02-29T00:00:00"/>
        <d v="2020-02-14T00:00:00"/>
        <d v="2019-12-27T00:00:00"/>
        <d v="2020-03-12T00:00:00"/>
        <d v="2020-03-25T00:00:00"/>
        <d v="2020-03-04T00:00:00"/>
        <d v="2020-01-30T00:00:00"/>
        <d v="2020-02-19T00:00:00"/>
        <d v="2020-02-22T00:00:00"/>
        <d v="2020-01-31T00:00:00"/>
        <d v="2020-01-16T00:00:00"/>
        <d v="2020-03-24T00:00:00"/>
        <d v="2020-05-13T00:00:00"/>
        <d v="2020-04-01T00:00:00"/>
        <d v="2020-03-07T00:00:00"/>
        <d v="2020-01-13T00:00:00"/>
        <d v="2020-04-06T00:00:00"/>
        <d v="2020-01-23T00:00:00"/>
        <d v="2020-01-20T00:00:00"/>
        <d v="2020-04-05T00:00:00"/>
        <d v="2020-01-21T00:00:00"/>
        <d v="2020-01-29T00:00:00"/>
        <d v="2020-04-04T00:00:00"/>
        <d v="2020-04-10T00:00:00"/>
        <m/>
      </sharedItems>
      <fieldGroup par="15"/>
    </cacheField>
    <cacheField name="death %" numFmtId="0">
      <sharedItems containsString="0" containsBlank="1" containsNumber="1" minValue="0" maxValue="28.562980484920164"/>
    </cacheField>
    <cacheField name="recovery rate %" numFmtId="0">
      <sharedItems containsString="0" containsBlank="1" containsNumber="1" minValue="0" maxValue="100"/>
    </cacheField>
    <cacheField name="infection rate %" numFmtId="0">
      <sharedItems containsBlank="1" containsMixedTypes="1" containsNumber="1" minValue="2.7450845829187116E-4" maxValue="3.9032981278970582"/>
    </cacheField>
    <cacheField name="risk label" numFmtId="0">
      <sharedItems containsBlank="1"/>
    </cacheField>
    <cacheField name="icon set" numFmtId="0">
      <sharedItems containsString="0" containsBlank="1" containsNumber="1" containsInteger="1" minValue="1" maxValue="3"/>
    </cacheField>
    <cacheField name="Months (Date of First Case)" numFmtId="0" databaseField="0">
      <fieldGroup base="7">
        <rangePr groupBy="months" startDate="2019-11-17T00:00:00" endDate="2020-05-14T00:00:00"/>
        <groupItems count="14">
          <s v="&lt;17-1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-05-2020"/>
        </groupItems>
      </fieldGroup>
    </cacheField>
    <cacheField name="Quarters (Date of First Case)" numFmtId="0" databaseField="0">
      <fieldGroup base="7">
        <rangePr groupBy="quarters" startDate="2019-11-17T00:00:00" endDate="2020-05-14T00:00:00"/>
        <groupItems count="6">
          <s v="&lt;17-11-2019"/>
          <s v="Qtr1"/>
          <s v="Qtr2"/>
          <s v="Qtr3"/>
          <s v="Qtr4"/>
          <s v="&gt;14-05-2020"/>
        </groupItems>
      </fieldGroup>
    </cacheField>
    <cacheField name="Years (Date of First Case)" numFmtId="0" databaseField="0">
      <fieldGroup base="7">
        <rangePr groupBy="years" startDate="2019-11-17T00:00:00" endDate="2020-05-14T00:00:00"/>
        <groupItems count="4">
          <s v="&lt;17-11-2019"/>
          <s v="2019"/>
          <s v="2020"/>
          <s v="&gt;14-05-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x v="0"/>
    <s v="36263"/>
    <s v="1269"/>
    <s v="25198"/>
    <s v="9796"/>
    <s v="39009447"/>
    <x v="0"/>
    <x v="0"/>
    <n v="3.499434685492099"/>
    <n v="69.486804732096076"/>
    <n v="9.2959533622714516E-2"/>
    <s v="moderate risk"/>
    <n v="2"/>
  </r>
  <r>
    <x v="1"/>
    <n v="4880"/>
    <n v="144"/>
    <n v="2745"/>
    <n v="1991"/>
    <n v="2877470"/>
    <x v="1"/>
    <x v="1"/>
    <n v="2.9508196721311477"/>
    <n v="56.25"/>
    <n v="0.16959342755962703"/>
    <s v="moderate risk"/>
    <n v="2"/>
  </r>
  <r>
    <x v="2"/>
    <n v="27973"/>
    <n v="1163"/>
    <n v="18837"/>
    <n v="7973"/>
    <n v="43926079"/>
    <x v="2"/>
    <x v="2"/>
    <n v="4.1575805240767885"/>
    <n v="67.339934937260921"/>
    <n v="6.3681987185790018E-2"/>
    <s v="moderate risk"/>
    <n v="2"/>
  </r>
  <r>
    <x v="3"/>
    <n v="907"/>
    <n v="52"/>
    <n v="803"/>
    <n v="52"/>
    <n v="77278"/>
    <x v="1"/>
    <x v="3"/>
    <n v="5.7331863285556786"/>
    <n v="88.53362734288865"/>
    <n v="1.1736846191671626"/>
    <s v="high risk"/>
    <n v="3"/>
  </r>
  <r>
    <x v="4"/>
    <n v="950"/>
    <n v="41"/>
    <n v="242"/>
    <n v="667"/>
    <n v="32956300"/>
    <x v="2"/>
    <x v="4"/>
    <n v="4.3157894736842106"/>
    <n v="25.473684210526315"/>
    <n v="2.8826051468156316E-3"/>
    <s v="moderate risk"/>
    <n v="2"/>
  </r>
  <r>
    <x v="5"/>
    <n v="86"/>
    <n v="3"/>
    <n v="65"/>
    <n v="18"/>
    <n v="98010"/>
    <x v="3"/>
    <x v="5"/>
    <n v="3.4883720930232558"/>
    <n v="75.581395348837205"/>
    <n v="8.7746148352208966E-2"/>
    <s v="moderate risk"/>
    <n v="2"/>
  </r>
  <r>
    <x v="6"/>
    <n v="167416"/>
    <n v="3059"/>
    <n v="72575"/>
    <n v="91782"/>
    <n v="45236884"/>
    <x v="4"/>
    <x v="6"/>
    <n v="1.827184976346347"/>
    <n v="43.350097959573759"/>
    <n v="0.37008738267649027"/>
    <s v="low risk"/>
    <n v="1"/>
  </r>
  <r>
    <x v="7"/>
    <n v="37390"/>
    <n v="711"/>
    <n v="26665"/>
    <n v="10014"/>
    <n v="2963811"/>
    <x v="0"/>
    <x v="7"/>
    <n v="1.9015779620219311"/>
    <n v="71.315859855576363"/>
    <n v="1.261551428211853"/>
    <s v="low risk"/>
    <n v="1"/>
  </r>
  <r>
    <x v="8"/>
    <n v="15303"/>
    <n v="167"/>
    <n v="9311"/>
    <n v="5825"/>
    <n v="25528864"/>
    <x v="5"/>
    <x v="8"/>
    <n v="1.0912892896817616"/>
    <n v="60.844278899562177"/>
    <n v="5.9943912897965218E-2"/>
    <s v="low risk"/>
    <n v="1"/>
  </r>
  <r>
    <x v="9"/>
    <n v="20558"/>
    <n v="713"/>
    <n v="18246"/>
    <n v="1599"/>
    <n v="9011577"/>
    <x v="1"/>
    <x v="2"/>
    <n v="3.4682362097480302"/>
    <n v="88.753769821967126"/>
    <n v="0.22812877257776301"/>
    <s v="moderate risk"/>
    <n v="2"/>
  </r>
  <r>
    <x v="10"/>
    <n v="30446"/>
    <n v="423"/>
    <n v="23242"/>
    <n v="6781"/>
    <n v="10148243"/>
    <x v="0"/>
    <x v="9"/>
    <n v="1.389345069959929"/>
    <n v="76.338435262431844"/>
    <n v="0.30001252433549336"/>
    <s v="low risk"/>
    <n v="1"/>
  </r>
  <r>
    <x v="11"/>
    <n v="382"/>
    <n v="11"/>
    <n v="91"/>
    <n v="280"/>
    <n v="393616"/>
    <x v="3"/>
    <x v="10"/>
    <n v="2.8795811518324608"/>
    <n v="23.821989528795811"/>
    <n v="9.7048900451201167E-2"/>
    <s v="moderate risk"/>
    <n v="2"/>
  </r>
  <r>
    <x v="12"/>
    <n v="39482"/>
    <n v="141"/>
    <n v="36110"/>
    <n v="3231"/>
    <n v="1706669"/>
    <x v="0"/>
    <x v="11"/>
    <n v="0.35712476571602247"/>
    <n v="91.459399219897676"/>
    <n v="2.3133952746548978"/>
    <s v="low risk"/>
    <n v="1"/>
  </r>
  <r>
    <x v="13"/>
    <n v="226225"/>
    <n v="2965"/>
    <n v="125683"/>
    <n v="97577"/>
    <n v="164851401"/>
    <x v="0"/>
    <x v="12"/>
    <n v="1.310642059896121"/>
    <n v="55.556636092385901"/>
    <n v="0.13722964962851603"/>
    <s v="low risk"/>
    <n v="1"/>
  </r>
  <r>
    <x v="14"/>
    <n v="110"/>
    <n v="7"/>
    <n v="94"/>
    <n v="9"/>
    <n v="287411"/>
    <x v="3"/>
    <x v="13"/>
    <n v="6.3636363636363633"/>
    <n v="85.454545454545453"/>
    <n v="3.8272717467320319E-2"/>
    <s v="high risk"/>
    <n v="3"/>
  </r>
  <r>
    <x v="15"/>
    <n v="67251"/>
    <n v="538"/>
    <n v="60492"/>
    <n v="6221"/>
    <n v="9449001"/>
    <x v="1"/>
    <x v="9"/>
    <n v="0.79998810426610767"/>
    <n v="89.949591827630812"/>
    <n v="0.71172603326002404"/>
    <s v="low risk"/>
    <n v="1"/>
  </r>
  <r>
    <x v="16"/>
    <n v="66428"/>
    <n v="9822"/>
    <n v="17452"/>
    <n v="39154"/>
    <n v="11594739"/>
    <x v="1"/>
    <x v="14"/>
    <n v="14.785933642439936"/>
    <n v="26.272053953152287"/>
    <n v="0.57291500912612181"/>
    <s v="high risk"/>
    <n v="3"/>
  </r>
  <r>
    <x v="17"/>
    <n v="48"/>
    <n v="2"/>
    <n v="26"/>
    <n v="20"/>
    <n v="398312"/>
    <x v="3"/>
    <x v="15"/>
    <n v="4.1666666666666661"/>
    <n v="54.166666666666664"/>
    <n v="1.2050854606439173E-2"/>
    <s v="moderate risk"/>
    <n v="2"/>
  </r>
  <r>
    <x v="18"/>
    <n v="1770"/>
    <n v="35"/>
    <n v="1036"/>
    <n v="699"/>
    <n v="12151976"/>
    <x v="2"/>
    <x v="16"/>
    <n v="1.977401129943503"/>
    <n v="58.531073446327689"/>
    <n v="1.4565532387489902E-2"/>
    <s v="low risk"/>
    <n v="1"/>
  </r>
  <r>
    <x v="19"/>
    <n v="99"/>
    <n v="0"/>
    <n v="86"/>
    <n v="13"/>
    <n v="772443"/>
    <x v="0"/>
    <x v="17"/>
    <n v="0"/>
    <n v="86.868686868686879"/>
    <n v="1.2816479662577046E-2"/>
    <s v="low risk"/>
    <n v="1"/>
  </r>
  <r>
    <x v="20"/>
    <n v="71181"/>
    <n v="2647"/>
    <n v="21478"/>
    <n v="47056"/>
    <n v="11688459"/>
    <x v="4"/>
    <x v="18"/>
    <n v="3.718688975990784"/>
    <n v="30.173782329554232"/>
    <n v="0.60898532475495704"/>
    <s v="moderate risk"/>
    <n v="2"/>
  </r>
  <r>
    <x v="21"/>
    <n v="10498"/>
    <n v="294"/>
    <n v="4930"/>
    <n v="5274"/>
    <n v="3278650"/>
    <x v="1"/>
    <x v="19"/>
    <n v="2.8005334349399886"/>
    <n v="46.961325966850829"/>
    <n v="0.32019276226495663"/>
    <s v="moderate risk"/>
    <n v="2"/>
  </r>
  <r>
    <x v="22"/>
    <n v="739"/>
    <n v="2"/>
    <n v="63"/>
    <n v="674"/>
    <n v="2356075"/>
    <x v="2"/>
    <x v="20"/>
    <n v="0.2706359945872801"/>
    <n v="8.5250338294993231"/>
    <n v="3.1365724775314879E-2"/>
    <s v="low risk"/>
    <n v="1"/>
  </r>
  <r>
    <x v="23"/>
    <n v="2442375"/>
    <n v="87618"/>
    <n v="1846641"/>
    <n v="508116"/>
    <n v="212710692"/>
    <x v="4"/>
    <x v="21"/>
    <n v="3.5874097957930293"/>
    <n v="75.608413941348076"/>
    <n v="1.1482144959596108"/>
    <s v="moderate risk"/>
    <n v="2"/>
  </r>
  <r>
    <x v="24"/>
    <n v="141"/>
    <n v="3"/>
    <n v="138"/>
    <n v="0"/>
    <n v="437893"/>
    <x v="0"/>
    <x v="1"/>
    <n v="2.1276595744680851"/>
    <n v="97.872340425531917"/>
    <n v="3.2199646945715046E-2"/>
    <s v="moderate risk"/>
    <n v="2"/>
  </r>
  <r>
    <x v="25"/>
    <n v="10621"/>
    <n v="347"/>
    <n v="5585"/>
    <n v="4689"/>
    <n v="6942854"/>
    <x v="1"/>
    <x v="12"/>
    <n v="3.2671123246398639"/>
    <n v="52.584502400903865"/>
    <n v="0.15297743550418891"/>
    <s v="moderate risk"/>
    <n v="2"/>
  </r>
  <r>
    <x v="26"/>
    <n v="1100"/>
    <n v="53"/>
    <n v="926"/>
    <n v="121"/>
    <n v="20954852"/>
    <x v="2"/>
    <x v="1"/>
    <n v="4.8181818181818183"/>
    <n v="84.181818181818187"/>
    <n v="5.2493809071044737E-3"/>
    <s v="moderate risk"/>
    <n v="2"/>
  </r>
  <r>
    <x v="27"/>
    <n v="350"/>
    <n v="6"/>
    <n v="292"/>
    <n v="52"/>
    <n v="54446389"/>
    <x v="0"/>
    <x v="15"/>
    <n v="1.7142857142857144"/>
    <n v="83.428571428571431"/>
    <n v="6.4283418318155131E-4"/>
    <s v="low risk"/>
    <n v="1"/>
  </r>
  <r>
    <x v="28"/>
    <n v="378"/>
    <n v="1"/>
    <n v="301"/>
    <n v="76"/>
    <n v="11922216"/>
    <x v="2"/>
    <x v="22"/>
    <n v="0.26455026455026454"/>
    <n v="79.629629629629633"/>
    <n v="3.1705515149197091E-3"/>
    <s v="low risk"/>
    <n v="1"/>
  </r>
  <r>
    <x v="29"/>
    <n v="2328"/>
    <n v="22"/>
    <n v="1550"/>
    <n v="756"/>
    <n v="556581"/>
    <x v="2"/>
    <x v="23"/>
    <n v="0.94501718213058417"/>
    <n v="66.580756013745699"/>
    <n v="0.41826796099759067"/>
    <s v="low risk"/>
    <n v="1"/>
  </r>
  <r>
    <x v="30"/>
    <n v="226"/>
    <n v="0"/>
    <n v="147"/>
    <n v="79"/>
    <n v="16741375"/>
    <x v="0"/>
    <x v="24"/>
    <n v="0"/>
    <n v="65.044247787610615"/>
    <n v="1.349948854260776E-3"/>
    <s v="low risk"/>
    <n v="1"/>
  </r>
  <r>
    <x v="31"/>
    <n v="17110"/>
    <n v="391"/>
    <n v="14539"/>
    <n v="2180"/>
    <n v="26606188"/>
    <x v="2"/>
    <x v="17"/>
    <n v="2.2852133255406195"/>
    <n v="84.973699590882518"/>
    <n v="6.4308348118114478E-2"/>
    <s v="moderate risk"/>
    <n v="2"/>
  </r>
  <r>
    <x v="32"/>
    <n v="116458"/>
    <n v="8944"/>
    <n v="0"/>
    <n v="107514"/>
    <n v="37775022"/>
    <x v="3"/>
    <x v="8"/>
    <n v="7.6800219821738303"/>
    <n v="0"/>
    <n v="0.3082936655867467"/>
    <s v="high risk"/>
    <n v="3"/>
  </r>
  <r>
    <x v="33"/>
    <n v="4599"/>
    <n v="59"/>
    <n v="1546"/>
    <n v="2994"/>
    <n v="4837752"/>
    <x v="2"/>
    <x v="25"/>
    <n v="1.2828875842574472"/>
    <n v="33.616003479017174"/>
    <n v="9.5064815228229974E-2"/>
    <s v="low risk"/>
    <n v="1"/>
  </r>
  <r>
    <x v="34"/>
    <n v="922"/>
    <n v="75"/>
    <n v="810"/>
    <n v="37"/>
    <s v=" 17224679"/>
    <x v="2"/>
    <x v="26"/>
    <n v="8.1344902386117131"/>
    <n v="87.85249457700651"/>
    <e v="#VALUE!"/>
    <s v="high risk"/>
    <n v="3"/>
  </r>
  <r>
    <x v="35"/>
    <n v="347923"/>
    <n v="9187"/>
    <n v="319954"/>
    <n v="18782"/>
    <n v="19132514"/>
    <x v="4"/>
    <x v="6"/>
    <n v="2.6405267832250239"/>
    <n v="91.961152323933746"/>
    <n v="1.8184907639424697"/>
    <s v="moderate risk"/>
    <n v="2"/>
  </r>
  <r>
    <x v="36"/>
    <n v="86783"/>
    <n v="4656"/>
    <n v="78869"/>
    <n v="3258"/>
    <n v="1411778724"/>
    <x v="2"/>
    <x v="27"/>
    <n v="5.3651060691610111"/>
    <n v="90.880702441722462"/>
    <n v="6.1470681293536757E-3"/>
    <s v="high risk"/>
    <n v="3"/>
  </r>
  <r>
    <x v="37"/>
    <n v="257101"/>
    <n v="8777"/>
    <n v="131161"/>
    <n v="117163"/>
    <n v="50936262"/>
    <x v="4"/>
    <x v="17"/>
    <n v="3.4138334740043796"/>
    <n v="51.015359722443712"/>
    <n v="0.50475042711222118"/>
    <s v="moderate risk"/>
    <n v="2"/>
  </r>
  <r>
    <x v="38"/>
    <n v="354"/>
    <n v="7"/>
    <n v="328"/>
    <n v="19"/>
    <n v="871326"/>
    <x v="2"/>
    <x v="28"/>
    <n v="1.977401129943503"/>
    <n v="92.655367231638422"/>
    <n v="4.0627732903643417E-2"/>
    <s v="low risk"/>
    <n v="1"/>
  </r>
  <r>
    <x v="39"/>
    <n v="3200"/>
    <n v="54"/>
    <n v="829"/>
    <n v="2317"/>
    <n v="5530506"/>
    <x v="2"/>
    <x v="25"/>
    <n v="1.6875"/>
    <n v="25.906249999999996"/>
    <n v="5.7860890124701074E-2"/>
    <s v="low risk"/>
    <n v="1"/>
  </r>
  <r>
    <x v="40"/>
    <n v="8844"/>
    <n v="208"/>
    <n v="5700"/>
    <n v="2936"/>
    <n v="96076573"/>
    <x v="2"/>
    <x v="18"/>
    <n v="2.3518769787426503"/>
    <n v="64.450474898236081"/>
    <n v="9.2051576402501362E-3"/>
    <s v="moderate risk"/>
    <n v="2"/>
  </r>
  <r>
    <x v="41"/>
    <n v="15841"/>
    <n v="115"/>
    <n v="3824"/>
    <n v="11902"/>
    <n v="5098730"/>
    <x v="3"/>
    <x v="17"/>
    <n v="0.72596426993245378"/>
    <n v="24.139890158449592"/>
    <n v="0.31068520984637354"/>
    <s v="low risk"/>
    <n v="1"/>
  </r>
  <r>
    <x v="42"/>
    <n v="15655"/>
    <n v="96"/>
    <n v="10361"/>
    <n v="5198"/>
    <n v="26172000"/>
    <x v="2"/>
    <x v="29"/>
    <n v="0.61322261258383903"/>
    <n v="66.183328010220379"/>
    <n v="5.9815833715421061E-2"/>
    <s v="low risk"/>
    <n v="1"/>
  </r>
  <r>
    <x v="43"/>
    <n v="4881"/>
    <n v="139"/>
    <n v="3936"/>
    <n v="806"/>
    <n v="4102577"/>
    <x v="1"/>
    <x v="2"/>
    <n v="2.8477770948576113"/>
    <n v="80.639213275968032"/>
    <n v="0.11897400097548444"/>
    <s v="moderate risk"/>
    <n v="2"/>
  </r>
  <r>
    <x v="44"/>
    <n v="2532"/>
    <n v="87"/>
    <n v="2351"/>
    <n v="94"/>
    <n v="11325899"/>
    <x v="3"/>
    <x v="29"/>
    <n v="3.4360189573459716"/>
    <n v="92.851500789889414"/>
    <n v="2.2355841244920162E-2"/>
    <s v="moderate risk"/>
    <n v="2"/>
  </r>
  <r>
    <x v="45"/>
    <n v="1060"/>
    <n v="19"/>
    <n v="852"/>
    <n v="189"/>
    <n v="1208238"/>
    <x v="0"/>
    <x v="1"/>
    <n v="1.7924528301886793"/>
    <n v="80.377358490566039"/>
    <n v="8.7731059609116743E-2"/>
    <s v="low risk"/>
    <n v="1"/>
  </r>
  <r>
    <x v="46"/>
    <n v="15516"/>
    <n v="373"/>
    <n v="11428"/>
    <n v="3715"/>
    <n v="10711019"/>
    <x v="1"/>
    <x v="7"/>
    <n v="2.4039700953854086"/>
    <n v="73.653003351379226"/>
    <n v="0.1448601668991531"/>
    <s v="moderate risk"/>
    <n v="2"/>
  </r>
  <r>
    <x v="47"/>
    <n v="13761"/>
    <n v="613"/>
    <n v="12605"/>
    <n v="543"/>
    <n v="5794279"/>
    <x v="1"/>
    <x v="30"/>
    <n v="4.4546181236828719"/>
    <n v="91.599447714555623"/>
    <n v="0.23749287875160999"/>
    <s v="moderate risk"/>
    <n v="2"/>
  </r>
  <r>
    <x v="48"/>
    <n v="5059"/>
    <n v="58"/>
    <n v="4977"/>
    <n v="24"/>
    <n v="989387"/>
    <x v="2"/>
    <x v="31"/>
    <n v="1.1464716347104171"/>
    <n v="98.379126309547331"/>
    <n v="0.51132671037723354"/>
    <s v="low risk"/>
    <n v="1"/>
  </r>
  <r>
    <x v="49"/>
    <n v="18"/>
    <n v="0"/>
    <n v="18"/>
    <n v="0"/>
    <n v="72004"/>
    <x v="3"/>
    <x v="32"/>
    <n v="0"/>
    <n v="100"/>
    <n v="2.4998611188267315E-2"/>
    <s v="low risk"/>
    <n v="1"/>
  </r>
  <r>
    <x v="50"/>
    <n v="64156"/>
    <n v="1083"/>
    <n v="30204"/>
    <n v="32869"/>
    <n v="10858648"/>
    <x v="3"/>
    <x v="7"/>
    <n v="1.688072822495168"/>
    <n v="47.078994949809839"/>
    <n v="0.59082861881147641"/>
    <s v="low risk"/>
    <n v="1"/>
  </r>
  <r>
    <x v="51"/>
    <n v="81161"/>
    <n v="5532"/>
    <n v="34896"/>
    <n v="40733"/>
    <n v="17668824"/>
    <x v="4"/>
    <x v="33"/>
    <n v="6.8160816155542685"/>
    <n v="42.996020256034299"/>
    <n v="0.45934579460410035"/>
    <s v="high risk"/>
    <n v="3"/>
  </r>
  <r>
    <x v="52"/>
    <n v="92482"/>
    <n v="4652"/>
    <n v="34838"/>
    <n v="52992"/>
    <n v="102516525"/>
    <x v="2"/>
    <x v="34"/>
    <n v="5.0301680326982545"/>
    <n v="37.670033087519734"/>
    <n v="9.0211797561417534E-2"/>
    <s v="high risk"/>
    <n v="3"/>
  </r>
  <r>
    <x v="53"/>
    <n v="15035"/>
    <n v="408"/>
    <n v="7778"/>
    <n v="6849"/>
    <n v="6489514"/>
    <x v="3"/>
    <x v="26"/>
    <n v="2.7136681077485867"/>
    <n v="51.732623877618892"/>
    <n v="0.23168144794818227"/>
    <s v="moderate risk"/>
    <n v="2"/>
  </r>
  <r>
    <x v="54"/>
    <n v="3071"/>
    <n v="51"/>
    <n v="842"/>
    <n v="2178"/>
    <n v="1407001"/>
    <x v="2"/>
    <x v="25"/>
    <n v="1.6606968414197329"/>
    <n v="27.417779225008143"/>
    <n v="0.21826565865980196"/>
    <s v="low risk"/>
    <n v="1"/>
  </r>
  <r>
    <x v="55"/>
    <n v="265"/>
    <n v="0"/>
    <n v="191"/>
    <n v="74"/>
    <n v="3551175"/>
    <x v="2"/>
    <x v="4"/>
    <n v="0"/>
    <n v="72.075471698113205"/>
    <n v="7.4623188099713477E-3"/>
    <s v="low risk"/>
    <n v="1"/>
  </r>
  <r>
    <x v="56"/>
    <n v="2034"/>
    <n v="69"/>
    <n v="1923"/>
    <n v="42"/>
    <n v="1326627"/>
    <x v="1"/>
    <x v="30"/>
    <n v="3.3923303834808261"/>
    <n v="94.542772861356923"/>
    <n v="0.15332116714042457"/>
    <s v="moderate risk"/>
    <n v="2"/>
  </r>
  <r>
    <x v="57"/>
    <n v="2316"/>
    <n v="34"/>
    <n v="1025"/>
    <n v="1257"/>
    <n v="1161348"/>
    <x v="2"/>
    <x v="25"/>
    <n v="1.468048359240069"/>
    <n v="44.2573402417962"/>
    <n v="0.19942342863637774"/>
    <s v="low risk"/>
    <n v="1"/>
  </r>
  <r>
    <x v="58"/>
    <n v="14547"/>
    <n v="228"/>
    <n v="6386"/>
    <n v="7933"/>
    <n v="115223736"/>
    <x v="2"/>
    <x v="5"/>
    <n v="1.5673334708187256"/>
    <n v="43.899085722142026"/>
    <n v="1.2625002890029532E-2"/>
    <s v="low risk"/>
    <n v="1"/>
  </r>
  <r>
    <x v="59"/>
    <n v="27"/>
    <n v="0"/>
    <n v="18"/>
    <n v="9"/>
    <n v="897095"/>
    <x v="5"/>
    <x v="26"/>
    <n v="0"/>
    <n v="66.666666666666657"/>
    <n v="3.0097146901944608E-3"/>
    <s v="low risk"/>
    <n v="1"/>
  </r>
  <r>
    <x v="60"/>
    <n v="7398"/>
    <n v="329"/>
    <n v="6920"/>
    <n v="149"/>
    <n v="5541604"/>
    <x v="1"/>
    <x v="21"/>
    <n v="4.4471478778048121"/>
    <n v="93.538794268721276"/>
    <n v="0.1334992540066017"/>
    <s v="moderate risk"/>
    <n v="2"/>
  </r>
  <r>
    <x v="61"/>
    <n v="220352"/>
    <n v="30212"/>
    <n v="81212"/>
    <n v="108928"/>
    <n v="65288306"/>
    <x v="1"/>
    <x v="35"/>
    <n v="13.71079000871333"/>
    <n v="36.855576532094105"/>
    <n v="0.33750607650932157"/>
    <s v="high risk"/>
    <n v="3"/>
  </r>
  <r>
    <x v="62"/>
    <n v="7189"/>
    <n v="49"/>
    <n v="4682"/>
    <n v="2458"/>
    <n v="2230563"/>
    <x v="2"/>
    <x v="36"/>
    <n v="0.6815968841285297"/>
    <n v="65.127277785505626"/>
    <n v="0.32229531288737417"/>
    <s v="low risk"/>
    <n v="1"/>
  </r>
  <r>
    <x v="63"/>
    <n v="326"/>
    <n v="8"/>
    <n v="66"/>
    <n v="252"/>
    <n v="2422754"/>
    <x v="2"/>
    <x v="13"/>
    <n v="2.4539877300613497"/>
    <n v="20.245398773006134"/>
    <n v="1.345576150116768E-2"/>
    <s v="moderate risk"/>
    <n v="2"/>
  </r>
  <r>
    <x v="64"/>
    <n v="1137"/>
    <n v="16"/>
    <n v="922"/>
    <n v="199"/>
    <n v="3988368"/>
    <x v="0"/>
    <x v="21"/>
    <n v="1.4072119613016711"/>
    <n v="81.090589270008792"/>
    <n v="2.8507900976038319E-2"/>
    <s v="low risk"/>
    <n v="1"/>
  </r>
  <r>
    <x v="65"/>
    <n v="207112"/>
    <n v="9125"/>
    <n v="190314"/>
    <n v="7673"/>
    <n v="83811260"/>
    <x v="1"/>
    <x v="24"/>
    <n v="4.4058287303487962"/>
    <n v="91.889412491791873"/>
    <n v="0.24711715347078664"/>
    <s v="moderate risk"/>
    <n v="2"/>
  </r>
  <r>
    <x v="66"/>
    <n v="33624"/>
    <n v="168"/>
    <n v="29801"/>
    <n v="3655"/>
    <n v="31133483"/>
    <x v="2"/>
    <x v="36"/>
    <n v="0.49964311206281231"/>
    <n v="88.630145134427778"/>
    <n v="0.10799948081620037"/>
    <s v="low risk"/>
    <n v="1"/>
  </r>
  <r>
    <x v="67"/>
    <n v="4227"/>
    <n v="202"/>
    <n v="1374"/>
    <n v="2651"/>
    <n v="10417673"/>
    <x v="1"/>
    <x v="21"/>
    <n v="4.7788029335225923"/>
    <n v="32.505322924059612"/>
    <n v="4.0575280103339779E-2"/>
    <s v="moderate risk"/>
    <n v="2"/>
  </r>
  <r>
    <x v="68"/>
    <n v="14"/>
    <n v="0"/>
    <n v="13"/>
    <n v="1"/>
    <n v="56780"/>
    <x v="3"/>
    <x v="12"/>
    <n v="0"/>
    <n v="92.857142857142861"/>
    <n v="2.4656569214512151E-2"/>
    <s v="low risk"/>
    <n v="1"/>
  </r>
  <r>
    <x v="69"/>
    <n v="23"/>
    <n v="0"/>
    <n v="23"/>
    <n v="0"/>
    <n v="112576"/>
    <x v="3"/>
    <x v="32"/>
    <n v="0"/>
    <n v="100"/>
    <n v="2.0430642410460487E-2"/>
    <s v="low risk"/>
    <n v="1"/>
  </r>
  <r>
    <x v="70"/>
    <n v="45309"/>
    <n v="1761"/>
    <n v="32455"/>
    <n v="11093"/>
    <n v="17946899"/>
    <x v="3"/>
    <x v="5"/>
    <n v="3.8866450374097861"/>
    <n v="71.630360414045782"/>
    <n v="0.2524614419460432"/>
    <s v="moderate risk"/>
    <n v="2"/>
  </r>
  <r>
    <x v="71"/>
    <n v="7055"/>
    <n v="45"/>
    <n v="6257"/>
    <n v="753"/>
    <n v="13164905"/>
    <x v="2"/>
    <x v="5"/>
    <n v="0.6378454996456413"/>
    <n v="88.6888731396173"/>
    <n v="5.358944861356766E-2"/>
    <s v="low risk"/>
    <n v="1"/>
  </r>
  <r>
    <x v="72"/>
    <n v="1954"/>
    <n v="26"/>
    <n v="803"/>
    <n v="1125"/>
    <n v="1972277"/>
    <x v="2"/>
    <x v="37"/>
    <n v="1.3306038894575232"/>
    <n v="41.095189355168884"/>
    <n v="9.9073304611877536E-2"/>
    <s v="low risk"/>
    <n v="1"/>
  </r>
  <r>
    <x v="73"/>
    <n v="389"/>
    <n v="20"/>
    <n v="181"/>
    <n v="188"/>
    <n v="786936"/>
    <x v="4"/>
    <x v="36"/>
    <n v="5.1413881748071981"/>
    <n v="46.529562982005139"/>
    <n v="4.9432228287942089E-2"/>
    <s v="high risk"/>
    <n v="3"/>
  </r>
  <r>
    <x v="74"/>
    <n v="7340"/>
    <n v="158"/>
    <n v="4365"/>
    <n v="2817"/>
    <n v="11416103"/>
    <x v="3"/>
    <x v="26"/>
    <n v="2.1525885558583107"/>
    <n v="59.468664850136243"/>
    <n v="6.4295145199723583E-2"/>
    <s v="moderate risk"/>
    <n v="2"/>
  </r>
  <r>
    <x v="75"/>
    <n v="12"/>
    <n v="0"/>
    <n v="12"/>
    <n v="0"/>
    <n v="528"/>
    <x v="1"/>
    <x v="32"/>
    <n v="0"/>
    <n v="100"/>
    <n v="2.2727272727272729"/>
    <s v="low risk"/>
    <n v="1"/>
  </r>
  <r>
    <x v="76"/>
    <n v="39741"/>
    <n v="1166"/>
    <n v="5039"/>
    <n v="33536"/>
    <n v="10012084"/>
    <x v="3"/>
    <x v="13"/>
    <n v="2.9339976346845829"/>
    <n v="12.679600412672052"/>
    <n v="0.39693034936582633"/>
    <s v="moderate risk"/>
    <n v="2"/>
  </r>
  <r>
    <x v="77"/>
    <n v="4448"/>
    <n v="596"/>
    <n v="3329"/>
    <n v="523"/>
    <n v="9657785"/>
    <x v="1"/>
    <x v="38"/>
    <n v="13.399280575539569"/>
    <n v="74.842625899280577"/>
    <n v="4.6056109138896753E-2"/>
    <s v="high risk"/>
    <n v="3"/>
  </r>
  <r>
    <x v="78"/>
    <n v="1854"/>
    <n v="10"/>
    <n v="1823"/>
    <n v="21"/>
    <n v="341465"/>
    <x v="1"/>
    <x v="9"/>
    <n v="0.53937432578209277"/>
    <n v="98.327939590075502"/>
    <n v="0.54295462199639788"/>
    <s v="low risk"/>
    <n v="1"/>
  </r>
  <r>
    <x v="79"/>
    <n v="1480073"/>
    <n v="33408"/>
    <n v="951166"/>
    <n v="495499"/>
    <n v="1381344997"/>
    <x v="0"/>
    <x v="39"/>
    <n v="2.2571859631247917"/>
    <n v="64.264803154979518"/>
    <n v="0.10714723716482247"/>
    <s v="moderate risk"/>
    <n v="2"/>
  </r>
  <r>
    <x v="80"/>
    <n v="100303"/>
    <n v="4838"/>
    <n v="58173"/>
    <n v="37292"/>
    <n v="273808365"/>
    <x v="0"/>
    <x v="3"/>
    <n v="4.8233851430166599"/>
    <n v="57.997268277120327"/>
    <n v="3.6632555035343788E-2"/>
    <s v="moderate risk"/>
    <n v="2"/>
  </r>
  <r>
    <x v="81"/>
    <n v="293606"/>
    <n v="15912"/>
    <n v="255144"/>
    <n v="22550"/>
    <n v="84097623"/>
    <x v="0"/>
    <x v="40"/>
    <n v="5.4195077757266539"/>
    <n v="86.900131468702952"/>
    <n v="0.34912520654715773"/>
    <s v="high risk"/>
    <n v="3"/>
  </r>
  <r>
    <x v="82"/>
    <n v="112585"/>
    <n v="4458"/>
    <n v="77144"/>
    <n v="30983"/>
    <n v="40306025"/>
    <x v="0"/>
    <x v="41"/>
    <n v="3.9596749122884933"/>
    <n v="68.520673269085577"/>
    <n v="0.27932548545781927"/>
    <s v="moderate risk"/>
    <n v="2"/>
  </r>
  <r>
    <x v="83"/>
    <n v="25892"/>
    <n v="1764"/>
    <n v="23364"/>
    <n v="764"/>
    <n v="4943200"/>
    <x v="1"/>
    <x v="33"/>
    <n v="6.8129151861578858"/>
    <n v="90.236366445234054"/>
    <n v="0.5237902573231914"/>
    <s v="high risk"/>
    <n v="3"/>
  </r>
  <r>
    <x v="84"/>
    <n v="63985"/>
    <n v="474"/>
    <n v="27133"/>
    <n v="36378"/>
    <n v="9197590"/>
    <x v="0"/>
    <x v="11"/>
    <n v="0.74079862467765878"/>
    <n v="42.405251230757209"/>
    <n v="0.69567136608611602"/>
    <s v="low risk"/>
    <n v="1"/>
  </r>
  <r>
    <x v="85"/>
    <n v="246286"/>
    <n v="35112"/>
    <n v="198593"/>
    <n v="12581"/>
    <n v="60452568"/>
    <x v="1"/>
    <x v="42"/>
    <n v="14.256595990027854"/>
    <n v="80.635115272488079"/>
    <n v="0.40740370202304726"/>
    <s v="high risk"/>
    <n v="3"/>
  </r>
  <r>
    <x v="86"/>
    <n v="853"/>
    <n v="10"/>
    <n v="714"/>
    <n v="129"/>
    <n v="2962478"/>
    <x v="3"/>
    <x v="18"/>
    <n v="1.1723329425556859"/>
    <n v="83.704572098475978"/>
    <n v="2.8793462770018881E-2"/>
    <s v="low risk"/>
    <n v="1"/>
  </r>
  <r>
    <x v="87"/>
    <n v="31142"/>
    <n v="998"/>
    <n v="21970"/>
    <n v="8174"/>
    <n v="126435859"/>
    <x v="0"/>
    <x v="43"/>
    <n v="3.2046753580373775"/>
    <n v="70.547813242566306"/>
    <n v="2.4630670639094562E-2"/>
    <s v="moderate risk"/>
    <n v="2"/>
  </r>
  <r>
    <x v="88"/>
    <n v="1176"/>
    <n v="11"/>
    <n v="1041"/>
    <n v="124"/>
    <n v="10213138"/>
    <x v="0"/>
    <x v="3"/>
    <n v="0.93537414965986398"/>
    <n v="88.520408163265301"/>
    <n v="1.1514580533426652E-2"/>
    <s v="low risk"/>
    <n v="1"/>
  </r>
  <r>
    <x v="89"/>
    <n v="84648"/>
    <n v="585"/>
    <n v="54404"/>
    <n v="29659"/>
    <n v="18798667"/>
    <x v="0"/>
    <x v="5"/>
    <n v="0.69109724978735465"/>
    <n v="64.270862867403835"/>
    <n v="0.45028724643082407"/>
    <s v="low risk"/>
    <n v="1"/>
  </r>
  <r>
    <x v="90"/>
    <n v="17975"/>
    <n v="285"/>
    <n v="7833"/>
    <n v="9857"/>
    <n v="53881160"/>
    <x v="2"/>
    <x v="5"/>
    <n v="1.5855354659248957"/>
    <n v="43.577190542420027"/>
    <n v="3.336045474893265E-2"/>
    <s v="low risk"/>
    <n v="1"/>
  </r>
  <r>
    <x v="91"/>
    <n v="7413"/>
    <n v="185"/>
    <n v="4027"/>
    <n v="3201"/>
    <n v="1790152"/>
    <x v="1"/>
    <x v="5"/>
    <n v="2.4956158100634021"/>
    <n v="54.323485768244971"/>
    <n v="0.41409891450558389"/>
    <s v="moderate risk"/>
    <n v="2"/>
  </r>
  <r>
    <x v="92"/>
    <n v="64379"/>
    <n v="438"/>
    <n v="55057"/>
    <n v="8884"/>
    <n v="4276658"/>
    <x v="0"/>
    <x v="0"/>
    <n v="0.68034607558365301"/>
    <n v="85.520123021482163"/>
    <n v="1.5053576881761412"/>
    <s v="low risk"/>
    <n v="1"/>
  </r>
  <r>
    <x v="93"/>
    <n v="33296"/>
    <n v="1301"/>
    <n v="21205"/>
    <n v="10790"/>
    <n v="6534479"/>
    <x v="0"/>
    <x v="31"/>
    <n v="3.9073762614127823"/>
    <n v="63.686328688130715"/>
    <n v="0.50954330100379841"/>
    <s v="moderate risk"/>
    <n v="2"/>
  </r>
  <r>
    <x v="94"/>
    <n v="20"/>
    <n v="0"/>
    <n v="19"/>
    <n v="1"/>
    <n v="7285750"/>
    <x v="0"/>
    <x v="44"/>
    <n v="0"/>
    <n v="95"/>
    <n v="2.7450845829187116E-4"/>
    <s v="low risk"/>
    <n v="1"/>
  </r>
  <r>
    <x v="95"/>
    <n v="1219"/>
    <n v="31"/>
    <n v="1045"/>
    <n v="143"/>
    <n v="1883936"/>
    <x v="1"/>
    <x v="3"/>
    <n v="2.5430680885972108"/>
    <n v="85.726004922067261"/>
    <n v="6.47049581302125E-2"/>
    <s v="moderate risk"/>
    <n v="2"/>
  </r>
  <r>
    <x v="96"/>
    <n v="3882"/>
    <n v="51"/>
    <n v="1709"/>
    <n v="2122"/>
    <n v="6822220"/>
    <x v="0"/>
    <x v="11"/>
    <n v="1.313755795981453"/>
    <n v="44.023699124162803"/>
    <n v="5.6902298665243864E-2"/>
    <s v="low risk"/>
    <n v="1"/>
  </r>
  <r>
    <x v="97"/>
    <n v="505"/>
    <n v="12"/>
    <n v="128"/>
    <n v="365"/>
    <n v="2143943"/>
    <x v="2"/>
    <x v="45"/>
    <n v="2.3762376237623761"/>
    <n v="25.346534653465348"/>
    <n v="2.3554730699463559E-2"/>
    <s v="moderate risk"/>
    <n v="2"/>
  </r>
  <r>
    <x v="98"/>
    <n v="1167"/>
    <n v="72"/>
    <n v="646"/>
    <n v="449"/>
    <n v="5068618"/>
    <x v="2"/>
    <x v="16"/>
    <n v="6.1696658097686372"/>
    <n v="55.355612682090829"/>
    <n v="2.3024027456793942E-2"/>
    <s v="high risk"/>
    <n v="3"/>
  </r>
  <r>
    <x v="99"/>
    <n v="2827"/>
    <n v="64"/>
    <n v="577"/>
    <n v="2186"/>
    <n v="6880353"/>
    <x v="2"/>
    <x v="44"/>
    <n v="2.2638839759462326"/>
    <n v="20.410328970640254"/>
    <n v="4.1088008129815431E-2"/>
    <s v="moderate risk"/>
    <n v="2"/>
  </r>
  <r>
    <x v="100"/>
    <n v="86"/>
    <n v="1"/>
    <n v="81"/>
    <n v="4"/>
    <n v="38139"/>
    <x v="1"/>
    <x v="6"/>
    <n v="1.1627906976744187"/>
    <n v="94.186046511627907"/>
    <n v="0.22549096725136999"/>
    <s v="low risk"/>
    <n v="1"/>
  </r>
  <r>
    <x v="101"/>
    <n v="2019"/>
    <n v="80"/>
    <n v="1620"/>
    <n v="319"/>
    <n v="2718121"/>
    <x v="1"/>
    <x v="9"/>
    <n v="3.96235760277365"/>
    <n v="80.237741456166418"/>
    <n v="7.4279253940497864E-2"/>
    <s v="moderate risk"/>
    <n v="2"/>
  </r>
  <r>
    <x v="102"/>
    <n v="6321"/>
    <n v="112"/>
    <n v="4825"/>
    <n v="1384"/>
    <n v="626952"/>
    <x v="1"/>
    <x v="33"/>
    <n v="1.7718715393133997"/>
    <n v="76.332858724885298"/>
    <n v="1.0082111549209509"/>
    <s v="low risk"/>
    <n v="1"/>
  </r>
  <r>
    <x v="103"/>
    <n v="9690"/>
    <n v="91"/>
    <n v="6260"/>
    <n v="3339"/>
    <n v="27755708"/>
    <x v="2"/>
    <x v="23"/>
    <n v="0.9391124871001032"/>
    <n v="64.602683178534576"/>
    <n v="3.4911737794618682E-2"/>
    <s v="low risk"/>
    <n v="1"/>
  </r>
  <r>
    <x v="104"/>
    <n v="3664"/>
    <n v="99"/>
    <n v="1645"/>
    <n v="1920"/>
    <n v="19174839"/>
    <x v="2"/>
    <x v="46"/>
    <n v="2.7019650655021836"/>
    <n v="44.896288209606986"/>
    <n v="1.910837426066524E-2"/>
    <s v="moderate risk"/>
    <n v="2"/>
  </r>
  <r>
    <x v="105"/>
    <n v="8904"/>
    <n v="124"/>
    <n v="8601"/>
    <n v="179"/>
    <n v="32406372"/>
    <x v="0"/>
    <x v="8"/>
    <n v="1.3926325247079965"/>
    <n v="96.597035040431265"/>
    <n v="2.7476077852837094E-2"/>
    <s v="low risk"/>
    <n v="1"/>
  </r>
  <r>
    <x v="106"/>
    <n v="3369"/>
    <n v="15"/>
    <n v="2547"/>
    <n v="807"/>
    <n v="541448"/>
    <x v="0"/>
    <x v="47"/>
    <n v="0.44523597506678536"/>
    <n v="75.60106856634016"/>
    <n v="0.62222041636500647"/>
    <s v="low risk"/>
    <n v="1"/>
  </r>
  <r>
    <x v="107"/>
    <n v="2513"/>
    <n v="124"/>
    <n v="1913"/>
    <n v="476"/>
    <n v="20302901"/>
    <x v="2"/>
    <x v="37"/>
    <n v="4.9343414245921213"/>
    <n v="76.124154397134902"/>
    <n v="1.2377541514880066E-2"/>
    <s v="moderate risk"/>
    <n v="2"/>
  </r>
  <r>
    <x v="108"/>
    <n v="701"/>
    <n v="9"/>
    <n v="665"/>
    <n v="27"/>
    <n v="441663"/>
    <x v="1"/>
    <x v="47"/>
    <n v="1.2838801711840229"/>
    <n v="94.864479315263907"/>
    <n v="0.15871829879342395"/>
    <s v="low risk"/>
    <n v="1"/>
  </r>
  <r>
    <x v="109"/>
    <n v="6208"/>
    <n v="156"/>
    <n v="4653"/>
    <n v="1399"/>
    <n v="4660728"/>
    <x v="2"/>
    <x v="5"/>
    <n v="2.5128865979381443"/>
    <n v="74.951675257731949"/>
    <n v="0.13319807549378554"/>
    <s v="moderate risk"/>
    <n v="2"/>
  </r>
  <r>
    <x v="110"/>
    <n v="344"/>
    <n v="10"/>
    <n v="332"/>
    <n v="2"/>
    <n v="1271985"/>
    <x v="2"/>
    <x v="31"/>
    <n v="2.9069767441860463"/>
    <n v="96.511627906976756"/>
    <n v="2.7044344076384549E-2"/>
    <s v="moderate risk"/>
    <n v="2"/>
  </r>
  <r>
    <x v="111"/>
    <n v="395489"/>
    <n v="44022"/>
    <n v="303810"/>
    <n v="47657"/>
    <n v="129066160"/>
    <x v="3"/>
    <x v="9"/>
    <n v="11.131030193001576"/>
    <n v="76.818824290941095"/>
    <n v="0.30642346529872738"/>
    <s v="high risk"/>
    <n v="3"/>
  </r>
  <r>
    <x v="112"/>
    <n v="23154"/>
    <n v="748"/>
    <n v="16154"/>
    <n v="6252"/>
    <n v="4032983"/>
    <x v="1"/>
    <x v="47"/>
    <n v="3.2305433186490458"/>
    <n v="69.767642739915345"/>
    <n v="0.57411598313208856"/>
    <s v="moderate risk"/>
    <n v="2"/>
  </r>
  <r>
    <x v="113"/>
    <n v="116"/>
    <n v="4"/>
    <n v="104"/>
    <n v="8"/>
    <n v="39270"/>
    <x v="1"/>
    <x v="33"/>
    <n v="3.4482758620689653"/>
    <n v="89.65517241379311"/>
    <n v="0.29539088362617777"/>
    <s v="moderate risk"/>
    <n v="2"/>
  </r>
  <r>
    <x v="114"/>
    <n v="289"/>
    <n v="0"/>
    <n v="222"/>
    <n v="67"/>
    <n v="3283344"/>
    <x v="0"/>
    <x v="18"/>
    <n v="0"/>
    <n v="76.816608996539799"/>
    <n v="8.8020018615167939E-3"/>
    <s v="low risk"/>
    <n v="1"/>
  </r>
  <r>
    <x v="115"/>
    <n v="2893"/>
    <n v="45"/>
    <n v="809"/>
    <n v="2039"/>
    <n v="628074"/>
    <x v="1"/>
    <x v="13"/>
    <n v="1.5554787417905289"/>
    <n v="27.964051157967507"/>
    <n v="0.46061451357642574"/>
    <s v="low risk"/>
    <n v="1"/>
  </r>
  <r>
    <x v="116"/>
    <n v="20887"/>
    <n v="316"/>
    <n v="16553"/>
    <n v="4018"/>
    <n v="36953359"/>
    <x v="2"/>
    <x v="3"/>
    <n v="1.5129027624838416"/>
    <n v="79.250251352515917"/>
    <n v="5.6522601910153819E-2"/>
    <s v="low risk"/>
    <n v="1"/>
  </r>
  <r>
    <x v="117"/>
    <n v="1701"/>
    <n v="11"/>
    <n v="0"/>
    <n v="1690"/>
    <n v="31333962"/>
    <x v="2"/>
    <x v="32"/>
    <n v="0.64667842445620227"/>
    <n v="0"/>
    <n v="5.428614485458302E-3"/>
    <s v="low risk"/>
    <n v="1"/>
  </r>
  <r>
    <x v="118"/>
    <n v="1843"/>
    <n v="8"/>
    <n v="101"/>
    <n v="1734"/>
    <n v="2545264"/>
    <x v="2"/>
    <x v="25"/>
    <n v="0.43407487791644062"/>
    <n v="5.480195333695062"/>
    <n v="7.2408991758811658E-2"/>
    <s v="low risk"/>
    <n v="1"/>
  </r>
  <r>
    <x v="119"/>
    <n v="18752"/>
    <n v="48"/>
    <n v="13754"/>
    <n v="4950"/>
    <n v="29186486"/>
    <x v="0"/>
    <x v="48"/>
    <n v="0.25597269624573377"/>
    <n v="73.346843003412971"/>
    <n v="6.4248913007204769E-2"/>
    <s v="low risk"/>
    <n v="1"/>
  </r>
  <r>
    <x v="120"/>
    <n v="53413"/>
    <n v="6160"/>
    <n v="189"/>
    <n v="47064"/>
    <n v="17138756"/>
    <x v="1"/>
    <x v="30"/>
    <n v="11.532772920450078"/>
    <n v="0.35384644187744557"/>
    <n v="0.31165039049508614"/>
    <s v="high risk"/>
    <n v="3"/>
  </r>
  <r>
    <x v="121"/>
    <n v="1557"/>
    <n v="22"/>
    <n v="1514"/>
    <n v="21"/>
    <n v="5002100"/>
    <x v="5"/>
    <x v="9"/>
    <n v="1.4129736673089275"/>
    <n v="97.238278741168912"/>
    <n v="3.1126926690789869E-2"/>
    <s v="low risk"/>
    <n v="1"/>
  </r>
  <r>
    <x v="122"/>
    <n v="3439"/>
    <n v="108"/>
    <n v="2492"/>
    <n v="839"/>
    <n v="6632263"/>
    <x v="3"/>
    <x v="31"/>
    <n v="3.1404478045943587"/>
    <n v="72.462925268973549"/>
    <n v="5.1852587872344626E-2"/>
    <s v="moderate risk"/>
    <n v="2"/>
  </r>
  <r>
    <x v="123"/>
    <n v="1132"/>
    <n v="69"/>
    <n v="1027"/>
    <n v="36"/>
    <n v="24281433"/>
    <x v="2"/>
    <x v="26"/>
    <n v="6.0954063604240289"/>
    <n v="90.724381625441694"/>
    <n v="4.6619983260460778E-3"/>
    <s v="high risk"/>
    <n v="3"/>
  </r>
  <r>
    <x v="124"/>
    <n v="41180"/>
    <n v="860"/>
    <n v="18203"/>
    <n v="22117"/>
    <n v="206606300"/>
    <x v="2"/>
    <x v="30"/>
    <n v="2.0883924235065567"/>
    <n v="44.203496843127731"/>
    <n v="1.9931628415977634E-2"/>
    <s v="moderate risk"/>
    <n v="2"/>
  </r>
  <r>
    <x v="125"/>
    <n v="10213"/>
    <n v="466"/>
    <n v="5564"/>
    <n v="4183"/>
    <n v="2083365"/>
    <x v="1"/>
    <x v="21"/>
    <n v="4.562812102222658"/>
    <n v="54.479584842847352"/>
    <n v="0.49021654870845965"/>
    <s v="moderate risk"/>
    <n v="2"/>
  </r>
  <r>
    <x v="126"/>
    <n v="9132"/>
    <n v="255"/>
    <n v="8752"/>
    <n v="125"/>
    <n v="5425471"/>
    <x v="1"/>
    <x v="21"/>
    <n v="2.7923784494086727"/>
    <n v="95.838808585194926"/>
    <n v="0.16831718389057834"/>
    <s v="moderate risk"/>
    <n v="2"/>
  </r>
  <r>
    <x v="127"/>
    <n v="77058"/>
    <n v="393"/>
    <n v="57028"/>
    <n v="19637"/>
    <n v="5118446"/>
    <x v="0"/>
    <x v="0"/>
    <n v="0.51000545043992829"/>
    <n v="74.006592436865731"/>
    <n v="1.5054960040606076"/>
    <s v="low risk"/>
    <n v="1"/>
  </r>
  <r>
    <x v="128"/>
    <n v="274289"/>
    <n v="5842"/>
    <n v="241026"/>
    <n v="27421"/>
    <n v="221295851"/>
    <x v="0"/>
    <x v="21"/>
    <n v="2.1298703192618005"/>
    <n v="87.873009854569446"/>
    <n v="0.12394674313166405"/>
    <s v="moderate risk"/>
    <n v="2"/>
  </r>
  <r>
    <x v="129"/>
    <n v="61442"/>
    <n v="1322"/>
    <n v="35086"/>
    <n v="25034"/>
    <n v="5112340"/>
    <x v="0"/>
    <x v="1"/>
    <n v="2.1516226685329256"/>
    <n v="57.104260929006209"/>
    <n v="1.2018371235089997"/>
    <s v="moderate risk"/>
    <n v="2"/>
  </r>
  <r>
    <x v="130"/>
    <n v="62"/>
    <n v="0"/>
    <n v="11"/>
    <n v="51"/>
    <n v="8963009"/>
    <x v="5"/>
    <x v="23"/>
    <n v="0"/>
    <n v="17.741935483870968"/>
    <n v="6.9173198420307289E-4"/>
    <s v="low risk"/>
    <n v="1"/>
  </r>
  <r>
    <x v="131"/>
    <n v="4548"/>
    <n v="43"/>
    <n v="2905"/>
    <n v="1600"/>
    <n v="7141091"/>
    <x v="4"/>
    <x v="47"/>
    <n v="0.94547053649956025"/>
    <n v="63.874230430958669"/>
    <n v="6.3687747432430136E-2"/>
    <s v="low risk"/>
    <n v="1"/>
  </r>
  <r>
    <x v="132"/>
    <n v="389717"/>
    <n v="18418"/>
    <n v="272547"/>
    <n v="98752"/>
    <n v="33016319"/>
    <x v="4"/>
    <x v="17"/>
    <n v="4.7259934773181564"/>
    <n v="69.934593564047759"/>
    <n v="1.180376891803111"/>
    <s v="moderate risk"/>
    <n v="2"/>
  </r>
  <r>
    <x v="133"/>
    <n v="82040"/>
    <n v="1945"/>
    <n v="26446"/>
    <n v="53649"/>
    <n v="109722719"/>
    <x v="0"/>
    <x v="39"/>
    <n v="2.3707947342759628"/>
    <n v="32.235494880546071"/>
    <n v="7.4770294381786145E-2"/>
    <s v="moderate risk"/>
    <n v="2"/>
  </r>
  <r>
    <x v="134"/>
    <n v="43402"/>
    <n v="1676"/>
    <n v="32856"/>
    <n v="8870"/>
    <n v="37842302"/>
    <x v="1"/>
    <x v="38"/>
    <n v="3.8615731993917333"/>
    <n v="75.701580572323863"/>
    <n v="0.11469175421727779"/>
    <s v="moderate risk"/>
    <n v="2"/>
  </r>
  <r>
    <x v="135"/>
    <n v="50299"/>
    <n v="1719"/>
    <n v="35375"/>
    <n v="13205"/>
    <n v="10193593"/>
    <x v="1"/>
    <x v="3"/>
    <n v="3.417562973418955"/>
    <n v="70.329430008548883"/>
    <n v="0.49343739739265635"/>
    <s v="moderate risk"/>
    <n v="2"/>
  </r>
  <r>
    <x v="136"/>
    <n v="109597"/>
    <n v="165"/>
    <n v="106328"/>
    <n v="3104"/>
    <n v="2807805"/>
    <x v="0"/>
    <x v="30"/>
    <n v="0.15055156619250529"/>
    <n v="97.017254121919393"/>
    <n v="3.9032981278970582"/>
    <s v="low risk"/>
    <n v="1"/>
  </r>
  <r>
    <x v="137"/>
    <n v="45902"/>
    <n v="2206"/>
    <n v="25794"/>
    <n v="17902"/>
    <n v="19224023"/>
    <x v="1"/>
    <x v="21"/>
    <n v="4.8058908108579148"/>
    <n v="56.193629907193589"/>
    <n v="0.23877416293145304"/>
    <s v="moderate risk"/>
    <n v="2"/>
  </r>
  <r>
    <x v="138"/>
    <n v="816680"/>
    <n v="13334"/>
    <n v="602249"/>
    <n v="201097"/>
    <n v="145940924"/>
    <x v="1"/>
    <x v="42"/>
    <n v="1.6327080374197971"/>
    <n v="73.74357153352598"/>
    <n v="0.55959629253820542"/>
    <s v="low risk"/>
    <n v="1"/>
  </r>
  <r>
    <x v="139"/>
    <n v="1879"/>
    <n v="5"/>
    <n v="975"/>
    <n v="899"/>
    <n v="12981546"/>
    <x v="2"/>
    <x v="25"/>
    <n v="0.26609898882384247"/>
    <n v="51.889302820649284"/>
    <n v="1.4474393111575461E-2"/>
    <s v="low risk"/>
    <n v="1"/>
  </r>
  <r>
    <x v="140"/>
    <n v="17"/>
    <n v="0"/>
    <n v="15"/>
    <n v="2"/>
    <n v="53237"/>
    <x v="3"/>
    <x v="44"/>
    <n v="0"/>
    <n v="88.235294117647058"/>
    <n v="3.1932678400360653E-2"/>
    <s v="low risk"/>
    <n v="1"/>
  </r>
  <r>
    <x v="141"/>
    <n v="24"/>
    <n v="0"/>
    <n v="22"/>
    <n v="2"/>
    <n v="183712"/>
    <x v="3"/>
    <x v="5"/>
    <n v="0"/>
    <n v="91.666666666666657"/>
    <n v="1.306392614527086E-2"/>
    <s v="low risk"/>
    <n v="1"/>
  </r>
  <r>
    <x v="142"/>
    <n v="52"/>
    <n v="0"/>
    <n v="39"/>
    <n v="13"/>
    <n v="104000"/>
    <x v="3"/>
    <x v="29"/>
    <n v="0"/>
    <n v="75"/>
    <n v="0.05"/>
    <s v="low risk"/>
    <n v="1"/>
  </r>
  <r>
    <x v="143"/>
    <n v="699"/>
    <n v="42"/>
    <n v="657"/>
    <n v="0"/>
    <n v="33938"/>
    <x v="1"/>
    <x v="30"/>
    <n v="6.0085836909871242"/>
    <n v="93.991416309012877"/>
    <n v="2.0596381637102956"/>
    <s v="high risk"/>
    <n v="3"/>
  </r>
  <r>
    <x v="144"/>
    <n v="865"/>
    <n v="14"/>
    <n v="734"/>
    <n v="117"/>
    <n v="219544"/>
    <x v="2"/>
    <x v="49"/>
    <n v="1.6184971098265895"/>
    <n v="84.855491329479776"/>
    <n v="0.39399846955507783"/>
    <s v="low risk"/>
    <n v="1"/>
  </r>
  <r>
    <x v="145"/>
    <n v="268934"/>
    <n v="2760"/>
    <n v="222936"/>
    <n v="43238"/>
    <n v="34865919"/>
    <x v="0"/>
    <x v="3"/>
    <n v="1.0262741044271086"/>
    <n v="82.89617526976879"/>
    <n v="0.77133776396371478"/>
    <s v="low risk"/>
    <n v="1"/>
  </r>
  <r>
    <x v="146"/>
    <n v="9764"/>
    <n v="194"/>
    <n v="6477"/>
    <n v="3093"/>
    <n v="16783877"/>
    <x v="2"/>
    <x v="3"/>
    <n v="1.9868906185989348"/>
    <n v="66.335518230233518"/>
    <n v="5.8174878188156406E-2"/>
    <s v="low risk"/>
    <n v="1"/>
  </r>
  <r>
    <x v="147"/>
    <n v="24141"/>
    <n v="543"/>
    <n v="0"/>
    <n v="23598"/>
    <n v="8733665"/>
    <x v="1"/>
    <x v="17"/>
    <n v="2.2492854479930409"/>
    <n v="0"/>
    <n v="0.27641316675187333"/>
    <s v="moderate risk"/>
    <n v="2"/>
  </r>
  <r>
    <x v="148"/>
    <n v="114"/>
    <n v="0"/>
    <n v="39"/>
    <n v="75"/>
    <n v="98408"/>
    <x v="2"/>
    <x v="25"/>
    <n v="0"/>
    <n v="34.210526315789473"/>
    <n v="0.1158442403056662"/>
    <s v="low risk"/>
    <n v="1"/>
  </r>
  <r>
    <x v="149"/>
    <n v="1783"/>
    <n v="66"/>
    <n v="1317"/>
    <n v="400"/>
    <n v="7992169"/>
    <x v="2"/>
    <x v="22"/>
    <n v="3.7016264722378009"/>
    <n v="73.864273696017946"/>
    <n v="2.2309338053286911E-2"/>
    <s v="moderate risk"/>
    <n v="2"/>
  </r>
  <r>
    <x v="150"/>
    <n v="50838"/>
    <n v="27"/>
    <n v="45692"/>
    <n v="5119"/>
    <n v="5854932"/>
    <x v="0"/>
    <x v="50"/>
    <n v="5.3109878437389353E-2"/>
    <n v="89.877650576340528"/>
    <n v="0.86829360272672684"/>
    <s v="low risk"/>
    <n v="1"/>
  </r>
  <r>
    <x v="151"/>
    <n v="2181"/>
    <n v="28"/>
    <n v="1616"/>
    <n v="537"/>
    <n v="5459915"/>
    <x v="1"/>
    <x v="17"/>
    <n v="1.2838147638697845"/>
    <n v="74.094452086198999"/>
    <n v="3.9945676809986973E-2"/>
    <s v="low risk"/>
    <n v="1"/>
  </r>
  <r>
    <x v="152"/>
    <n v="2087"/>
    <n v="116"/>
    <n v="1733"/>
    <n v="238"/>
    <n v="2078968"/>
    <x v="1"/>
    <x v="38"/>
    <n v="5.5582175371346434"/>
    <n v="83.037853378054621"/>
    <n v="0.10038634553297598"/>
    <s v="high risk"/>
    <n v="3"/>
  </r>
  <r>
    <x v="153"/>
    <n v="3196"/>
    <n v="93"/>
    <n v="1543"/>
    <n v="1560"/>
    <n v="15933012"/>
    <x v="2"/>
    <x v="16"/>
    <n v="2.9098873591989989"/>
    <n v="48.279098873591991"/>
    <n v="2.0058981942648383E-2"/>
    <s v="moderate risk"/>
    <n v="2"/>
  </r>
  <r>
    <x v="154"/>
    <n v="452529"/>
    <n v="7067"/>
    <n v="274925"/>
    <n v="170537"/>
    <n v="59381566"/>
    <x v="2"/>
    <x v="19"/>
    <n v="1.5616678710093719"/>
    <n v="60.753012514115113"/>
    <n v="0.76206983157028907"/>
    <s v="low risk"/>
    <n v="1"/>
  </r>
  <r>
    <x v="155"/>
    <n v="14203"/>
    <n v="300"/>
    <n v="13007"/>
    <n v="896"/>
    <n v="51273732"/>
    <x v="0"/>
    <x v="51"/>
    <n v="2.1122298106033934"/>
    <n v="91.5792438217278"/>
    <n v="2.7700343715959665E-2"/>
    <s v="moderate risk"/>
    <n v="2"/>
  </r>
  <r>
    <x v="156"/>
    <n v="2305"/>
    <n v="46"/>
    <n v="1175"/>
    <n v="1084"/>
    <n v="11206572"/>
    <x v="2"/>
    <x v="52"/>
    <n v="1.9956616052060738"/>
    <n v="50.97613882863341"/>
    <n v="2.0568287965311783E-2"/>
    <s v="low risk"/>
    <n v="1"/>
  </r>
  <r>
    <x v="157"/>
    <n v="272421"/>
    <n v="28432"/>
    <n v="150376"/>
    <n v="93613"/>
    <n v="46756648"/>
    <x v="1"/>
    <x v="42"/>
    <n v="10.436787178668311"/>
    <n v="55.199856105072662"/>
    <n v="0.58263586388827537"/>
    <s v="high risk"/>
    <n v="3"/>
  </r>
  <r>
    <x v="158"/>
    <n v="2805"/>
    <n v="11"/>
    <n v="2121"/>
    <n v="673"/>
    <n v="21422362"/>
    <x v="0"/>
    <x v="24"/>
    <n v="0.39215686274509803"/>
    <n v="75.61497326203208"/>
    <n v="1.3093794232400705E-2"/>
    <s v="low risk"/>
    <n v="1"/>
  </r>
  <r>
    <x v="159"/>
    <n v="11424"/>
    <n v="720"/>
    <n v="5939"/>
    <n v="4765"/>
    <n v="43943536"/>
    <x v="2"/>
    <x v="5"/>
    <n v="6.3025210084033612"/>
    <n v="51.987044817927178"/>
    <n v="2.5996997601649537E-2"/>
    <s v="high risk"/>
    <n v="3"/>
  </r>
  <r>
    <x v="160"/>
    <n v="1483"/>
    <n v="24"/>
    <n v="925"/>
    <n v="534"/>
    <n v="587154"/>
    <x v="4"/>
    <x v="5"/>
    <n v="1.6183412002697235"/>
    <n v="62.37356709372893"/>
    <n v="0.25257428204525556"/>
    <s v="low risk"/>
    <n v="1"/>
  </r>
  <r>
    <x v="161"/>
    <n v="79395"/>
    <n v="5700"/>
    <n v="0"/>
    <n v="73695"/>
    <n v="10105596"/>
    <x v="1"/>
    <x v="42"/>
    <n v="7.1792934063857921"/>
    <n v="0"/>
    <n v="0.78565381002763213"/>
    <s v="high risk"/>
    <n v="3"/>
  </r>
  <r>
    <x v="162"/>
    <n v="34477"/>
    <n v="1978"/>
    <n v="30900"/>
    <n v="1599"/>
    <n v="8660952"/>
    <x v="1"/>
    <x v="2"/>
    <n v="5.7371581054036023"/>
    <n v="89.624967369550717"/>
    <n v="0.39807402234765876"/>
    <s v="high risk"/>
    <n v="3"/>
  </r>
  <r>
    <x v="163"/>
    <n v="674"/>
    <n v="40"/>
    <n v="0"/>
    <n v="634"/>
    <n v="17539600"/>
    <x v="0"/>
    <x v="32"/>
    <n v="5.9347181008902083"/>
    <n v="0"/>
    <n v="3.8427330155761815E-3"/>
    <s v="high risk"/>
    <n v="3"/>
  </r>
  <r>
    <x v="164"/>
    <n v="462"/>
    <n v="7"/>
    <n v="440"/>
    <n v="15"/>
    <n v="23821199"/>
    <x v="0"/>
    <x v="53"/>
    <n v="1.5151515151515151"/>
    <n v="95.238095238095227"/>
    <n v="1.9394489756791838E-3"/>
    <s v="low risk"/>
    <n v="1"/>
  </r>
  <r>
    <x v="165"/>
    <n v="7235"/>
    <n v="60"/>
    <n v="6028"/>
    <n v="1147"/>
    <n v="9557468"/>
    <x v="0"/>
    <x v="28"/>
    <n v="0.82930200414651001"/>
    <n v="83.317208016586036"/>
    <n v="7.5699965723139223E-2"/>
    <s v="low risk"/>
    <n v="1"/>
  </r>
  <r>
    <x v="166"/>
    <n v="509"/>
    <n v="21"/>
    <n v="183"/>
    <n v="305"/>
    <n v="59886383"/>
    <x v="2"/>
    <x v="16"/>
    <n v="4.1257367387033401"/>
    <n v="35.952848722986246"/>
    <n v="8.4994279918358066E-4"/>
    <s v="moderate risk"/>
    <n v="2"/>
  </r>
  <r>
    <x v="167"/>
    <n v="3297"/>
    <n v="58"/>
    <n v="3111"/>
    <n v="128"/>
    <n v="69817894"/>
    <x v="0"/>
    <x v="48"/>
    <n v="1.7591750075826509"/>
    <n v="94.358507734303913"/>
    <n v="4.7222850921283879E-3"/>
    <s v="low risk"/>
    <n v="1"/>
  </r>
  <r>
    <x v="168"/>
    <n v="24"/>
    <n v="0"/>
    <n v="0"/>
    <n v="24"/>
    <n v="1320812"/>
    <x v="0"/>
    <x v="4"/>
    <n v="0"/>
    <n v="0"/>
    <n v="1.8170640484792687E-3"/>
    <s v="low risk"/>
    <n v="1"/>
  </r>
  <r>
    <x v="169"/>
    <n v="874"/>
    <n v="18"/>
    <n v="607"/>
    <n v="249"/>
    <n v="8296582"/>
    <x v="2"/>
    <x v="17"/>
    <n v="2.0594965675057209"/>
    <n v="69.450800915331811"/>
    <n v="1.0534458648151732E-2"/>
    <s v="moderate risk"/>
    <n v="2"/>
  </r>
  <r>
    <x v="170"/>
    <n v="148"/>
    <n v="8"/>
    <n v="128"/>
    <n v="12"/>
    <n v="1399950"/>
    <x v="3"/>
    <x v="36"/>
    <n v="5.4054054054054053"/>
    <n v="86.486486486486484"/>
    <n v="1.0571806135933426E-2"/>
    <s v="high risk"/>
    <n v="3"/>
  </r>
  <r>
    <x v="171"/>
    <n v="1455"/>
    <n v="50"/>
    <n v="1157"/>
    <n v="248"/>
    <n v="11830801"/>
    <x v="2"/>
    <x v="3"/>
    <n v="3.4364261168384882"/>
    <n v="79.518900343642613"/>
    <n v="1.2298406506879795E-2"/>
    <s v="moderate risk"/>
    <n v="2"/>
  </r>
  <r>
    <x v="172"/>
    <n v="227019"/>
    <n v="5630"/>
    <n v="210469"/>
    <n v="10920"/>
    <n v="84428331"/>
    <x v="0"/>
    <x v="29"/>
    <n v="2.4799686369863316"/>
    <n v="92.709861289143205"/>
    <n v="0.26888959820844971"/>
    <s v="moderate risk"/>
    <n v="2"/>
  </r>
  <r>
    <x v="173"/>
    <n v="4290259"/>
    <n v="148011"/>
    <n v="1325804"/>
    <n v="2816444"/>
    <n v="331198130"/>
    <x v="3"/>
    <x v="53"/>
    <n v="3.4499315775574386"/>
    <n v="30.902656459668286"/>
    <n v="1.2953753694201111"/>
    <s v="moderate risk"/>
    <n v="2"/>
  </r>
  <r>
    <x v="174"/>
    <n v="1128"/>
    <n v="2"/>
    <n v="986"/>
    <n v="140"/>
    <n v="45867852"/>
    <x v="2"/>
    <x v="32"/>
    <n v="0.1773049645390071"/>
    <n v="87.411347517730491"/>
    <n v="2.459238771416634E-3"/>
    <s v="low risk"/>
    <n v="1"/>
  </r>
  <r>
    <x v="175"/>
    <n v="67096"/>
    <n v="1636"/>
    <n v="37202"/>
    <n v="28258"/>
    <n v="43705858"/>
    <x v="1"/>
    <x v="6"/>
    <n v="2.4382973649695958"/>
    <n v="55.445928222248718"/>
    <n v="0.15351717840661086"/>
    <s v="moderate risk"/>
    <n v="2"/>
  </r>
  <r>
    <x v="176"/>
    <n v="59177"/>
    <n v="345"/>
    <n v="52510"/>
    <n v="6322"/>
    <n v="9902079"/>
    <x v="0"/>
    <x v="54"/>
    <n v="0.5829967723946804"/>
    <n v="88.733798604187442"/>
    <n v="0.59762197413290685"/>
    <s v="low risk"/>
    <n v="1"/>
  </r>
  <r>
    <x v="177"/>
    <n v="301708"/>
    <n v="45844"/>
    <n v="1437"/>
    <n v="254427"/>
    <n v="67922029"/>
    <x v="1"/>
    <x v="42"/>
    <n v="15.194824134593713"/>
    <n v="0.47628833176448754"/>
    <n v="0.44419756659507326"/>
    <s v="high risk"/>
    <n v="3"/>
  </r>
  <r>
    <x v="178"/>
    <n v="1202"/>
    <n v="35"/>
    <n v="951"/>
    <n v="216"/>
    <n v="3474956"/>
    <x v="4"/>
    <x v="5"/>
    <n v="2.9118136439267883"/>
    <n v="79.118136439267886"/>
    <n v="3.4590366036289379E-2"/>
    <s v="moderate risk"/>
    <n v="2"/>
  </r>
  <r>
    <x v="179"/>
    <n v="21209"/>
    <n v="121"/>
    <n v="11674"/>
    <n v="9414"/>
    <n v="33516027"/>
    <x v="0"/>
    <x v="10"/>
    <n v="0.5705125182705455"/>
    <n v="55.042670564383045"/>
    <n v="6.3280173392866637E-2"/>
    <s v="low risk"/>
    <n v="1"/>
  </r>
  <r>
    <x v="180"/>
    <n v="15988"/>
    <n v="146"/>
    <n v="9959"/>
    <n v="5883"/>
    <n v="28427499"/>
    <x v="4"/>
    <x v="5"/>
    <n v="0.91318488866649983"/>
    <n v="62.290467850888163"/>
    <n v="5.6241317605885771E-2"/>
    <s v="low risk"/>
    <n v="1"/>
  </r>
  <r>
    <x v="181"/>
    <n v="431"/>
    <n v="0"/>
    <n v="365"/>
    <n v="66"/>
    <n v="97425470"/>
    <x v="0"/>
    <x v="50"/>
    <n v="0"/>
    <n v="84.686774941995353"/>
    <n v="4.4238944908348921E-4"/>
    <s v="low risk"/>
    <n v="1"/>
  </r>
  <r>
    <x v="182"/>
    <n v="10621"/>
    <n v="78"/>
    <n v="3752"/>
    <n v="6791"/>
    <n v="4800000"/>
    <x v="0"/>
    <x v="19"/>
    <n v="0.73439412484700128"/>
    <n v="35.326240466999344"/>
    <n v="0.22127083333333333"/>
    <s v="low risk"/>
    <n v="1"/>
  </r>
  <r>
    <x v="183"/>
    <n v="10"/>
    <n v="1"/>
    <n v="8"/>
    <n v="1"/>
    <n v="598682"/>
    <x v="2"/>
    <x v="55"/>
    <n v="10"/>
    <n v="80"/>
    <n v="1.6703358377235327E-3"/>
    <s v="high risk"/>
    <n v="3"/>
  </r>
  <r>
    <x v="184"/>
    <n v="1691"/>
    <n v="483"/>
    <n v="833"/>
    <n v="375"/>
    <n v="29886897"/>
    <x v="0"/>
    <x v="56"/>
    <n v="28.562980484920164"/>
    <n v="49.260792430514485"/>
    <n v="5.6579978844909862E-3"/>
    <s v="high risk"/>
    <n v="3"/>
  </r>
  <r>
    <x v="185"/>
    <n v="4552"/>
    <n v="140"/>
    <n v="2815"/>
    <n v="1597"/>
    <n v="18430129"/>
    <x v="2"/>
    <x v="31"/>
    <n v="3.0755711775043935"/>
    <n v="61.840949033391915"/>
    <n v="2.4698687676033088E-2"/>
    <s v="moderate risk"/>
    <n v="2"/>
  </r>
  <r>
    <x v="186"/>
    <n v="2704"/>
    <n v="36"/>
    <n v="542"/>
    <n v="2126"/>
    <n v="14883803"/>
    <x v="2"/>
    <x v="4"/>
    <n v="1.3313609467455623"/>
    <n v="20.04437869822485"/>
    <n v="1.8167399823821907E-2"/>
    <s v="low risk"/>
    <n v="1"/>
  </r>
  <r>
    <x v="187"/>
    <m/>
    <m/>
    <m/>
    <m/>
    <m/>
    <x v="6"/>
    <x v="57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C7F6D-1A73-40D8-B036-A0FAFEF28E1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C14" firstHeaderRow="0" firstDataRow="1" firstDataCol="1"/>
  <pivotFields count="16">
    <pivotField axis="axisRow" showAll="0" measureFilter="1" sortType="ascending">
      <items count="1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2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3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>
      <items count="59">
        <item x="27"/>
        <item x="35"/>
        <item x="48"/>
        <item x="43"/>
        <item x="51"/>
        <item x="53"/>
        <item x="50"/>
        <item x="8"/>
        <item x="24"/>
        <item x="54"/>
        <item x="39"/>
        <item x="42"/>
        <item x="14"/>
        <item x="34"/>
        <item x="40"/>
        <item x="11"/>
        <item x="41"/>
        <item x="0"/>
        <item x="2"/>
        <item x="21"/>
        <item x="30"/>
        <item x="9"/>
        <item x="33"/>
        <item x="7"/>
        <item x="3"/>
        <item x="6"/>
        <item x="38"/>
        <item x="19"/>
        <item x="17"/>
        <item x="47"/>
        <item x="12"/>
        <item x="1"/>
        <item x="18"/>
        <item x="29"/>
        <item x="36"/>
        <item x="5"/>
        <item x="25"/>
        <item x="10"/>
        <item x="16"/>
        <item x="13"/>
        <item x="31"/>
        <item x="26"/>
        <item x="23"/>
        <item x="4"/>
        <item x="32"/>
        <item x="15"/>
        <item x="44"/>
        <item x="37"/>
        <item x="20"/>
        <item x="22"/>
        <item x="46"/>
        <item x="55"/>
        <item x="52"/>
        <item x="49"/>
        <item x="56"/>
        <item x="28"/>
        <item x="45"/>
        <item x="57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11">
    <i>
      <x v="23"/>
    </i>
    <i>
      <x v="34"/>
    </i>
    <i>
      <x v="78"/>
    </i>
    <i>
      <x v="80"/>
    </i>
    <i>
      <x v="110"/>
    </i>
    <i>
      <x v="132"/>
    </i>
    <i>
      <x v="138"/>
    </i>
    <i>
      <x v="154"/>
    </i>
    <i>
      <x v="176"/>
    </i>
    <i>
      <x v="17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nfirmed" fld="1" baseField="0" baseItem="0"/>
    <dataField name="Sum of Recovered" fld="3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D1D68-12BC-40BD-ABD4-C651DB3E3BC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2" firstHeaderRow="1" firstDataRow="1" firstDataCol="1"/>
  <pivotFields count="16">
    <pivotField showAll="0"/>
    <pivotField dataField="1" showAll="0"/>
    <pivotField showAll="0"/>
    <pivotField showAll="0"/>
    <pivotField showAll="0"/>
    <pivotField showAll="0"/>
    <pivotField showAll="0"/>
    <pivotField showAll="0">
      <items count="59">
        <item x="27"/>
        <item x="35"/>
        <item x="48"/>
        <item x="43"/>
        <item x="51"/>
        <item x="53"/>
        <item x="50"/>
        <item x="8"/>
        <item x="24"/>
        <item x="54"/>
        <item x="39"/>
        <item x="42"/>
        <item x="14"/>
        <item x="34"/>
        <item x="40"/>
        <item x="11"/>
        <item x="41"/>
        <item x="0"/>
        <item x="2"/>
        <item x="21"/>
        <item x="30"/>
        <item x="9"/>
        <item x="33"/>
        <item x="7"/>
        <item x="3"/>
        <item x="6"/>
        <item x="38"/>
        <item x="19"/>
        <item x="17"/>
        <item x="47"/>
        <item x="12"/>
        <item x="1"/>
        <item x="18"/>
        <item x="29"/>
        <item x="36"/>
        <item x="5"/>
        <item x="25"/>
        <item x="10"/>
        <item x="16"/>
        <item x="13"/>
        <item x="31"/>
        <item x="26"/>
        <item x="23"/>
        <item x="4"/>
        <item x="32"/>
        <item x="15"/>
        <item x="44"/>
        <item x="37"/>
        <item x="20"/>
        <item x="22"/>
        <item x="46"/>
        <item x="55"/>
        <item x="52"/>
        <item x="49"/>
        <item x="56"/>
        <item x="28"/>
        <item x="45"/>
        <item x="5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11"/>
    </i>
    <i>
      <x v="12"/>
    </i>
    <i t="grand">
      <x/>
    </i>
  </rowItems>
  <colItems count="1">
    <i/>
  </colItems>
  <dataFields count="1">
    <dataField name="Sum of Confirmed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8D3BBD-C9E6-439D-8B1D-F1B905EEF06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1" firstHeaderRow="1" firstDataRow="1" firstDataCol="1"/>
  <pivotFields count="16">
    <pivotField showAll="0">
      <items count="1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2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3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dataField="1" showAll="0"/>
    <pivotField showAll="0"/>
    <pivotField showAll="0"/>
    <pivotField showAll="0"/>
    <pivotField showAll="0"/>
    <pivotField axis="axisRow" showAll="0">
      <items count="8">
        <item x="2"/>
        <item x="0"/>
        <item x="5"/>
        <item x="1"/>
        <item x="3"/>
        <item x="4"/>
        <item x="6"/>
        <item t="default"/>
      </items>
    </pivotField>
    <pivotField showAll="0">
      <items count="59">
        <item x="27"/>
        <item x="35"/>
        <item x="48"/>
        <item x="43"/>
        <item x="51"/>
        <item x="53"/>
        <item x="50"/>
        <item x="8"/>
        <item x="24"/>
        <item x="54"/>
        <item x="39"/>
        <item x="42"/>
        <item x="14"/>
        <item x="34"/>
        <item x="40"/>
        <item x="11"/>
        <item x="41"/>
        <item x="0"/>
        <item x="2"/>
        <item x="21"/>
        <item x="30"/>
        <item x="9"/>
        <item x="33"/>
        <item x="7"/>
        <item x="3"/>
        <item x="6"/>
        <item x="38"/>
        <item x="19"/>
        <item x="17"/>
        <item x="47"/>
        <item x="12"/>
        <item x="1"/>
        <item x="18"/>
        <item x="29"/>
        <item x="36"/>
        <item x="5"/>
        <item x="25"/>
        <item x="10"/>
        <item x="16"/>
        <item x="13"/>
        <item x="31"/>
        <item x="26"/>
        <item x="23"/>
        <item x="4"/>
        <item x="32"/>
        <item x="15"/>
        <item x="44"/>
        <item x="37"/>
        <item x="20"/>
        <item x="22"/>
        <item x="46"/>
        <item x="55"/>
        <item x="52"/>
        <item x="49"/>
        <item x="56"/>
        <item x="28"/>
        <item x="45"/>
        <item x="57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onfirmed" fld="1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069A96-6ABE-454C-83BE-230FE05BBD8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2" firstHeaderRow="0" firstDataRow="1" firstDataCol="1"/>
  <pivotFields count="16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9">
        <item x="27"/>
        <item x="35"/>
        <item x="48"/>
        <item x="43"/>
        <item x="51"/>
        <item x="53"/>
        <item x="50"/>
        <item x="8"/>
        <item x="24"/>
        <item x="54"/>
        <item x="39"/>
        <item x="42"/>
        <item x="14"/>
        <item x="34"/>
        <item x="40"/>
        <item x="11"/>
        <item x="41"/>
        <item x="0"/>
        <item x="2"/>
        <item x="21"/>
        <item x="30"/>
        <item x="9"/>
        <item x="33"/>
        <item x="7"/>
        <item x="3"/>
        <item x="6"/>
        <item x="38"/>
        <item x="19"/>
        <item x="17"/>
        <item x="47"/>
        <item x="12"/>
        <item x="1"/>
        <item x="18"/>
        <item x="29"/>
        <item x="36"/>
        <item x="5"/>
        <item x="25"/>
        <item x="10"/>
        <item x="16"/>
        <item x="13"/>
        <item x="31"/>
        <item x="26"/>
        <item x="23"/>
        <item x="4"/>
        <item x="32"/>
        <item x="15"/>
        <item x="44"/>
        <item x="37"/>
        <item x="20"/>
        <item x="22"/>
        <item x="46"/>
        <item x="55"/>
        <item x="52"/>
        <item x="49"/>
        <item x="56"/>
        <item x="28"/>
        <item x="45"/>
        <item x="57"/>
        <item t="default"/>
      </items>
    </pivotField>
    <pivotField dataField="1"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2">
    <field x="13"/>
    <field x="7"/>
  </rowFields>
  <rowItems count="9">
    <i>
      <x/>
    </i>
    <i>
      <x v="1"/>
    </i>
    <i>
      <x v="2"/>
    </i>
    <i>
      <x v="3"/>
    </i>
    <i>
      <x v="4"/>
    </i>
    <i>
      <x v="5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onfirmed" fld="1" subtotal="count" baseField="0" baseItem="0"/>
    <dataField name="Count of death %" fld="8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59E6-F680-4CEA-A4DD-E5F1B22DAFFE}">
  <dimension ref="A1:S188"/>
  <sheetViews>
    <sheetView zoomScale="96" workbookViewId="0">
      <selection activeCell="J8" sqref="J8"/>
    </sheetView>
  </sheetViews>
  <sheetFormatPr defaultRowHeight="14.5" x14ac:dyDescent="0.35"/>
  <cols>
    <col min="1" max="1" width="28.81640625" style="22" bestFit="1" customWidth="1"/>
    <col min="2" max="2" width="10.81640625" style="2" customWidth="1"/>
    <col min="3" max="3" width="8" style="2" customWidth="1"/>
    <col min="4" max="4" width="10.81640625" style="2" customWidth="1"/>
    <col min="5" max="5" width="9" style="2" customWidth="1"/>
    <col min="6" max="6" width="16.6328125" style="3" bestFit="1" customWidth="1"/>
    <col min="7" max="7" width="16.6328125" style="21" customWidth="1"/>
    <col min="8" max="8" width="15.453125" style="4" bestFit="1" customWidth="1"/>
    <col min="9" max="9" width="17.453125" customWidth="1"/>
    <col min="10" max="10" width="21.08984375" customWidth="1"/>
    <col min="11" max="11" width="8.453125" bestFit="1" customWidth="1"/>
  </cols>
  <sheetData>
    <row r="1" spans="1:8" ht="18" customHeight="1" x14ac:dyDescent="0.35">
      <c r="A1" s="5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192</v>
      </c>
      <c r="G1" s="5" t="s">
        <v>193</v>
      </c>
      <c r="H1" s="11" t="s">
        <v>194</v>
      </c>
    </row>
    <row r="2" spans="1:8" ht="18" customHeight="1" x14ac:dyDescent="0.35">
      <c r="A2" s="6" t="s">
        <v>5</v>
      </c>
      <c r="B2" s="12" t="s">
        <v>201</v>
      </c>
      <c r="C2" s="12" t="s">
        <v>202</v>
      </c>
      <c r="D2" s="12" t="s">
        <v>203</v>
      </c>
      <c r="E2" s="12" t="s">
        <v>204</v>
      </c>
      <c r="F2" s="12" t="s">
        <v>205</v>
      </c>
      <c r="G2" s="6" t="s">
        <v>195</v>
      </c>
      <c r="H2" s="13">
        <v>43885</v>
      </c>
    </row>
    <row r="3" spans="1:8" ht="18" customHeight="1" x14ac:dyDescent="0.35">
      <c r="A3" s="7" t="s">
        <v>6</v>
      </c>
      <c r="B3" s="14">
        <v>4880</v>
      </c>
      <c r="C3" s="14">
        <v>144</v>
      </c>
      <c r="D3" s="14">
        <v>2745</v>
      </c>
      <c r="E3" s="14">
        <v>1991</v>
      </c>
      <c r="F3" s="14">
        <v>2877470</v>
      </c>
      <c r="G3" s="7" t="s">
        <v>196</v>
      </c>
      <c r="H3" s="15">
        <v>43899</v>
      </c>
    </row>
    <row r="4" spans="1:8" ht="18" customHeight="1" x14ac:dyDescent="0.35">
      <c r="A4" s="6" t="s">
        <v>7</v>
      </c>
      <c r="B4" s="12">
        <v>27973</v>
      </c>
      <c r="C4" s="12">
        <v>1163</v>
      </c>
      <c r="D4" s="12">
        <v>18837</v>
      </c>
      <c r="E4" s="12">
        <v>7973</v>
      </c>
      <c r="F4" s="12">
        <v>43926079</v>
      </c>
      <c r="G4" s="6" t="s">
        <v>197</v>
      </c>
      <c r="H4" s="13">
        <v>43886</v>
      </c>
    </row>
    <row r="5" spans="1:8" ht="18" customHeight="1" x14ac:dyDescent="0.35">
      <c r="A5" s="7" t="s">
        <v>8</v>
      </c>
      <c r="B5" s="14">
        <v>907</v>
      </c>
      <c r="C5" s="14">
        <v>52</v>
      </c>
      <c r="D5" s="14">
        <v>803</v>
      </c>
      <c r="E5" s="14">
        <v>52</v>
      </c>
      <c r="F5" s="14">
        <v>77278</v>
      </c>
      <c r="G5" s="7" t="s">
        <v>196</v>
      </c>
      <c r="H5" s="15">
        <v>43892</v>
      </c>
    </row>
    <row r="6" spans="1:8" ht="18" customHeight="1" x14ac:dyDescent="0.35">
      <c r="A6" s="6" t="s">
        <v>9</v>
      </c>
      <c r="B6" s="12">
        <v>950</v>
      </c>
      <c r="C6" s="12">
        <v>41</v>
      </c>
      <c r="D6" s="12">
        <v>242</v>
      </c>
      <c r="E6" s="12">
        <v>667</v>
      </c>
      <c r="F6" s="12">
        <v>32956300</v>
      </c>
      <c r="G6" s="6" t="s">
        <v>197</v>
      </c>
      <c r="H6" s="13">
        <v>43911</v>
      </c>
    </row>
    <row r="7" spans="1:8" ht="18" customHeight="1" x14ac:dyDescent="0.35">
      <c r="A7" s="7" t="s">
        <v>10</v>
      </c>
      <c r="B7" s="14">
        <v>86</v>
      </c>
      <c r="C7" s="14">
        <v>3</v>
      </c>
      <c r="D7" s="14">
        <v>65</v>
      </c>
      <c r="E7" s="14">
        <v>18</v>
      </c>
      <c r="F7" s="14">
        <v>98010</v>
      </c>
      <c r="G7" s="7" t="s">
        <v>198</v>
      </c>
      <c r="H7" s="15">
        <v>43903</v>
      </c>
    </row>
    <row r="8" spans="1:8" ht="18" customHeight="1" x14ac:dyDescent="0.35">
      <c r="A8" s="6" t="s">
        <v>11</v>
      </c>
      <c r="B8" s="12">
        <v>167416</v>
      </c>
      <c r="C8" s="12">
        <v>3059</v>
      </c>
      <c r="D8" s="12">
        <v>72575</v>
      </c>
      <c r="E8" s="12">
        <v>91782</v>
      </c>
      <c r="F8" s="12">
        <v>45236884</v>
      </c>
      <c r="G8" s="6" t="s">
        <v>199</v>
      </c>
      <c r="H8" s="13">
        <v>43893</v>
      </c>
    </row>
    <row r="9" spans="1:8" ht="18" customHeight="1" x14ac:dyDescent="0.35">
      <c r="A9" s="7" t="s">
        <v>12</v>
      </c>
      <c r="B9" s="14">
        <v>37390</v>
      </c>
      <c r="C9" s="14">
        <v>711</v>
      </c>
      <c r="D9" s="14">
        <v>26665</v>
      </c>
      <c r="E9" s="14">
        <v>10014</v>
      </c>
      <c r="F9" s="14">
        <v>2963811</v>
      </c>
      <c r="G9" s="7" t="s">
        <v>195</v>
      </c>
      <c r="H9" s="15">
        <v>43891</v>
      </c>
    </row>
    <row r="10" spans="1:8" ht="18" customHeight="1" x14ac:dyDescent="0.35">
      <c r="A10" s="6" t="s">
        <v>13</v>
      </c>
      <c r="B10" s="12">
        <v>15303</v>
      </c>
      <c r="C10" s="12">
        <v>167</v>
      </c>
      <c r="D10" s="12">
        <v>9311</v>
      </c>
      <c r="E10" s="12">
        <v>5825</v>
      </c>
      <c r="F10" s="12">
        <v>25528864</v>
      </c>
      <c r="G10" s="6" t="s">
        <v>200</v>
      </c>
      <c r="H10" s="13">
        <v>43855</v>
      </c>
    </row>
    <row r="11" spans="1:8" ht="18" customHeight="1" x14ac:dyDescent="0.35">
      <c r="A11" s="7" t="s">
        <v>14</v>
      </c>
      <c r="B11" s="14">
        <v>20558</v>
      </c>
      <c r="C11" s="14">
        <v>713</v>
      </c>
      <c r="D11" s="14">
        <v>18246</v>
      </c>
      <c r="E11" s="14">
        <v>1599</v>
      </c>
      <c r="F11" s="14">
        <v>9011577</v>
      </c>
      <c r="G11" s="7" t="s">
        <v>196</v>
      </c>
      <c r="H11" s="15">
        <v>43886</v>
      </c>
    </row>
    <row r="12" spans="1:8" ht="18" customHeight="1" x14ac:dyDescent="0.35">
      <c r="A12" s="6" t="s">
        <v>15</v>
      </c>
      <c r="B12" s="12">
        <v>30446</v>
      </c>
      <c r="C12" s="12">
        <v>423</v>
      </c>
      <c r="D12" s="12">
        <v>23242</v>
      </c>
      <c r="E12" s="12">
        <v>6781</v>
      </c>
      <c r="F12" s="12">
        <v>10148243</v>
      </c>
      <c r="G12" s="6" t="s">
        <v>195</v>
      </c>
      <c r="H12" s="13">
        <v>43889</v>
      </c>
    </row>
    <row r="13" spans="1:8" ht="18" customHeight="1" x14ac:dyDescent="0.35">
      <c r="A13" s="7" t="s">
        <v>16</v>
      </c>
      <c r="B13" s="14">
        <v>382</v>
      </c>
      <c r="C13" s="14">
        <v>11</v>
      </c>
      <c r="D13" s="14">
        <v>91</v>
      </c>
      <c r="E13" s="14">
        <v>280</v>
      </c>
      <c r="F13" s="14">
        <v>393616</v>
      </c>
      <c r="G13" s="7" t="s">
        <v>198</v>
      </c>
      <c r="H13" s="15">
        <v>43905</v>
      </c>
    </row>
    <row r="14" spans="1:8" ht="18" customHeight="1" x14ac:dyDescent="0.35">
      <c r="A14" s="6" t="s">
        <v>17</v>
      </c>
      <c r="B14" s="12">
        <v>39482</v>
      </c>
      <c r="C14" s="12">
        <v>141</v>
      </c>
      <c r="D14" s="12">
        <v>36110</v>
      </c>
      <c r="E14" s="12">
        <v>3231</v>
      </c>
      <c r="F14" s="12">
        <v>1706669</v>
      </c>
      <c r="G14" s="6" t="s">
        <v>195</v>
      </c>
      <c r="H14" s="13">
        <v>43882</v>
      </c>
    </row>
    <row r="15" spans="1:8" ht="18" customHeight="1" x14ac:dyDescent="0.35">
      <c r="A15" s="7" t="s">
        <v>18</v>
      </c>
      <c r="B15" s="14">
        <v>226225</v>
      </c>
      <c r="C15" s="14">
        <v>2965</v>
      </c>
      <c r="D15" s="14">
        <v>125683</v>
      </c>
      <c r="E15" s="14">
        <v>97577</v>
      </c>
      <c r="F15" s="14">
        <v>164851401</v>
      </c>
      <c r="G15" s="7" t="s">
        <v>195</v>
      </c>
      <c r="H15" s="15">
        <v>43898</v>
      </c>
    </row>
    <row r="16" spans="1:8" ht="18" customHeight="1" x14ac:dyDescent="0.35">
      <c r="A16" s="6" t="s">
        <v>19</v>
      </c>
      <c r="B16" s="12">
        <v>110</v>
      </c>
      <c r="C16" s="12">
        <v>7</v>
      </c>
      <c r="D16" s="12">
        <v>94</v>
      </c>
      <c r="E16" s="12">
        <v>9</v>
      </c>
      <c r="F16" s="12">
        <v>287411</v>
      </c>
      <c r="G16" s="6" t="s">
        <v>198</v>
      </c>
      <c r="H16" s="13">
        <v>43907</v>
      </c>
    </row>
    <row r="17" spans="1:8" ht="18" customHeight="1" x14ac:dyDescent="0.35">
      <c r="A17" s="7" t="s">
        <v>20</v>
      </c>
      <c r="B17" s="14">
        <v>67251</v>
      </c>
      <c r="C17" s="14">
        <v>538</v>
      </c>
      <c r="D17" s="14">
        <v>60492</v>
      </c>
      <c r="E17" s="14">
        <v>6221</v>
      </c>
      <c r="F17" s="14">
        <v>9449001</v>
      </c>
      <c r="G17" s="7" t="s">
        <v>196</v>
      </c>
      <c r="H17" s="15">
        <v>43889</v>
      </c>
    </row>
    <row r="18" spans="1:8" ht="18" customHeight="1" x14ac:dyDescent="0.35">
      <c r="A18" s="6" t="s">
        <v>21</v>
      </c>
      <c r="B18" s="12">
        <v>66428</v>
      </c>
      <c r="C18" s="12">
        <v>9822</v>
      </c>
      <c r="D18" s="12">
        <v>17452</v>
      </c>
      <c r="E18" s="12">
        <v>39154</v>
      </c>
      <c r="F18" s="12">
        <v>11594739</v>
      </c>
      <c r="G18" s="6" t="s">
        <v>196</v>
      </c>
      <c r="H18" s="13">
        <v>43865</v>
      </c>
    </row>
    <row r="19" spans="1:8" ht="18" customHeight="1" x14ac:dyDescent="0.35">
      <c r="A19" s="7" t="s">
        <v>22</v>
      </c>
      <c r="B19" s="14">
        <v>48</v>
      </c>
      <c r="C19" s="14">
        <v>2</v>
      </c>
      <c r="D19" s="14">
        <v>26</v>
      </c>
      <c r="E19" s="14">
        <v>20</v>
      </c>
      <c r="F19" s="14">
        <v>398312</v>
      </c>
      <c r="G19" s="7" t="s">
        <v>198</v>
      </c>
      <c r="H19" s="15">
        <v>43913</v>
      </c>
    </row>
    <row r="20" spans="1:8" ht="18" customHeight="1" x14ac:dyDescent="0.35">
      <c r="A20" s="6" t="s">
        <v>23</v>
      </c>
      <c r="B20" s="12">
        <v>1770</v>
      </c>
      <c r="C20" s="12">
        <v>35</v>
      </c>
      <c r="D20" s="12">
        <v>1036</v>
      </c>
      <c r="E20" s="12">
        <v>699</v>
      </c>
      <c r="F20" s="12">
        <v>12151976</v>
      </c>
      <c r="G20" s="6" t="s">
        <v>197</v>
      </c>
      <c r="H20" s="13">
        <v>43906</v>
      </c>
    </row>
    <row r="21" spans="1:8" ht="18" customHeight="1" x14ac:dyDescent="0.35">
      <c r="A21" s="7" t="s">
        <v>24</v>
      </c>
      <c r="B21" s="14">
        <v>99</v>
      </c>
      <c r="C21" s="14">
        <v>0</v>
      </c>
      <c r="D21" s="14">
        <v>86</v>
      </c>
      <c r="E21" s="14">
        <v>13</v>
      </c>
      <c r="F21" s="14">
        <v>772443</v>
      </c>
      <c r="G21" s="7" t="s">
        <v>195</v>
      </c>
      <c r="H21" s="15">
        <v>43896</v>
      </c>
    </row>
    <row r="22" spans="1:8" ht="18" customHeight="1" x14ac:dyDescent="0.35">
      <c r="A22" s="6" t="s">
        <v>25</v>
      </c>
      <c r="B22" s="12">
        <v>71181</v>
      </c>
      <c r="C22" s="12">
        <v>2647</v>
      </c>
      <c r="D22" s="12">
        <v>21478</v>
      </c>
      <c r="E22" s="12">
        <v>47056</v>
      </c>
      <c r="F22" s="12">
        <v>11688459</v>
      </c>
      <c r="G22" s="6" t="s">
        <v>199</v>
      </c>
      <c r="H22" s="13">
        <v>43900</v>
      </c>
    </row>
    <row r="23" spans="1:8" ht="18" customHeight="1" x14ac:dyDescent="0.35">
      <c r="A23" s="7" t="s">
        <v>26</v>
      </c>
      <c r="B23" s="14">
        <v>10498</v>
      </c>
      <c r="C23" s="14">
        <v>294</v>
      </c>
      <c r="D23" s="14">
        <v>4930</v>
      </c>
      <c r="E23" s="14">
        <v>5274</v>
      </c>
      <c r="F23" s="14">
        <v>3278650</v>
      </c>
      <c r="G23" s="7" t="s">
        <v>196</v>
      </c>
      <c r="H23" s="15">
        <v>43895</v>
      </c>
    </row>
    <row r="24" spans="1:8" ht="18" customHeight="1" x14ac:dyDescent="0.35">
      <c r="A24" s="6" t="s">
        <v>27</v>
      </c>
      <c r="B24" s="12">
        <v>739</v>
      </c>
      <c r="C24" s="12">
        <v>2</v>
      </c>
      <c r="D24" s="12">
        <v>63</v>
      </c>
      <c r="E24" s="12">
        <v>674</v>
      </c>
      <c r="F24" s="12">
        <v>2356075</v>
      </c>
      <c r="G24" s="6" t="s">
        <v>197</v>
      </c>
      <c r="H24" s="13">
        <v>43920</v>
      </c>
    </row>
    <row r="25" spans="1:8" ht="18" customHeight="1" x14ac:dyDescent="0.35">
      <c r="A25" s="7" t="s">
        <v>28</v>
      </c>
      <c r="B25" s="14">
        <v>2442375</v>
      </c>
      <c r="C25" s="14">
        <v>87618</v>
      </c>
      <c r="D25" s="14">
        <v>1846641</v>
      </c>
      <c r="E25" s="14">
        <v>508116</v>
      </c>
      <c r="F25" s="14">
        <v>212710692</v>
      </c>
      <c r="G25" s="7" t="s">
        <v>199</v>
      </c>
      <c r="H25" s="15">
        <v>43887</v>
      </c>
    </row>
    <row r="26" spans="1:8" ht="18" customHeight="1" x14ac:dyDescent="0.35">
      <c r="A26" s="6" t="s">
        <v>29</v>
      </c>
      <c r="B26" s="12">
        <v>141</v>
      </c>
      <c r="C26" s="12">
        <v>3</v>
      </c>
      <c r="D26" s="12">
        <v>138</v>
      </c>
      <c r="E26" s="12">
        <v>0</v>
      </c>
      <c r="F26" s="12">
        <v>437893</v>
      </c>
      <c r="G26" s="6" t="s">
        <v>195</v>
      </c>
      <c r="H26" s="13">
        <v>43899</v>
      </c>
    </row>
    <row r="27" spans="1:8" ht="18" customHeight="1" x14ac:dyDescent="0.35">
      <c r="A27" s="7" t="s">
        <v>30</v>
      </c>
      <c r="B27" s="14">
        <v>10621</v>
      </c>
      <c r="C27" s="14">
        <v>347</v>
      </c>
      <c r="D27" s="14">
        <v>5585</v>
      </c>
      <c r="E27" s="14">
        <v>4689</v>
      </c>
      <c r="F27" s="14">
        <v>6942854</v>
      </c>
      <c r="G27" s="7" t="s">
        <v>196</v>
      </c>
      <c r="H27" s="15">
        <v>43898</v>
      </c>
    </row>
    <row r="28" spans="1:8" ht="18" customHeight="1" x14ac:dyDescent="0.35">
      <c r="A28" s="6" t="s">
        <v>31</v>
      </c>
      <c r="B28" s="12">
        <v>1100</v>
      </c>
      <c r="C28" s="12">
        <v>53</v>
      </c>
      <c r="D28" s="12">
        <v>926</v>
      </c>
      <c r="E28" s="12">
        <v>121</v>
      </c>
      <c r="F28" s="12">
        <v>20954852</v>
      </c>
      <c r="G28" s="6" t="s">
        <v>197</v>
      </c>
      <c r="H28" s="13">
        <v>43899</v>
      </c>
    </row>
    <row r="29" spans="1:8" ht="18" customHeight="1" x14ac:dyDescent="0.35">
      <c r="A29" s="7" t="s">
        <v>191</v>
      </c>
      <c r="B29" s="14">
        <v>350</v>
      </c>
      <c r="C29" s="14">
        <v>6</v>
      </c>
      <c r="D29" s="14">
        <v>292</v>
      </c>
      <c r="E29" s="14">
        <v>52</v>
      </c>
      <c r="F29" s="14">
        <v>54446389</v>
      </c>
      <c r="G29" s="7" t="s">
        <v>195</v>
      </c>
      <c r="H29" s="15">
        <v>43913</v>
      </c>
    </row>
    <row r="30" spans="1:8" ht="18" customHeight="1" x14ac:dyDescent="0.35">
      <c r="A30" s="6" t="s">
        <v>32</v>
      </c>
      <c r="B30" s="12">
        <v>378</v>
      </c>
      <c r="C30" s="12">
        <v>1</v>
      </c>
      <c r="D30" s="12">
        <v>301</v>
      </c>
      <c r="E30" s="12">
        <v>76</v>
      </c>
      <c r="F30" s="12">
        <v>11922216</v>
      </c>
      <c r="G30" s="6" t="s">
        <v>197</v>
      </c>
      <c r="H30" s="13">
        <v>43921</v>
      </c>
    </row>
    <row r="31" spans="1:8" ht="18" customHeight="1" x14ac:dyDescent="0.35">
      <c r="A31" s="7" t="s">
        <v>33</v>
      </c>
      <c r="B31" s="14">
        <v>2328</v>
      </c>
      <c r="C31" s="14">
        <v>22</v>
      </c>
      <c r="D31" s="14">
        <v>1550</v>
      </c>
      <c r="E31" s="14">
        <v>756</v>
      </c>
      <c r="F31" s="14">
        <v>556581</v>
      </c>
      <c r="G31" s="7" t="s">
        <v>197</v>
      </c>
      <c r="H31" s="15">
        <v>43910</v>
      </c>
    </row>
    <row r="32" spans="1:8" ht="18" customHeight="1" x14ac:dyDescent="0.35">
      <c r="A32" s="6" t="s">
        <v>34</v>
      </c>
      <c r="B32" s="12">
        <v>226</v>
      </c>
      <c r="C32" s="12">
        <v>0</v>
      </c>
      <c r="D32" s="12">
        <v>147</v>
      </c>
      <c r="E32" s="12">
        <v>79</v>
      </c>
      <c r="F32" s="12">
        <v>16741375</v>
      </c>
      <c r="G32" s="6" t="s">
        <v>195</v>
      </c>
      <c r="H32" s="13">
        <v>43857</v>
      </c>
    </row>
    <row r="33" spans="1:8" ht="18" customHeight="1" x14ac:dyDescent="0.35">
      <c r="A33" s="7" t="s">
        <v>35</v>
      </c>
      <c r="B33" s="14">
        <v>17110</v>
      </c>
      <c r="C33" s="14">
        <v>391</v>
      </c>
      <c r="D33" s="14">
        <v>14539</v>
      </c>
      <c r="E33" s="14">
        <v>2180</v>
      </c>
      <c r="F33" s="14">
        <v>26606188</v>
      </c>
      <c r="G33" s="7" t="s">
        <v>197</v>
      </c>
      <c r="H33" s="15">
        <v>43896</v>
      </c>
    </row>
    <row r="34" spans="1:8" ht="18" customHeight="1" x14ac:dyDescent="0.35">
      <c r="A34" s="6" t="s">
        <v>36</v>
      </c>
      <c r="B34" s="12">
        <v>116458</v>
      </c>
      <c r="C34" s="12">
        <v>8944</v>
      </c>
      <c r="D34" s="12">
        <v>0</v>
      </c>
      <c r="E34" s="12">
        <v>107514</v>
      </c>
      <c r="F34" s="12">
        <v>37775022</v>
      </c>
      <c r="G34" s="6" t="s">
        <v>198</v>
      </c>
      <c r="H34" s="13">
        <v>43855</v>
      </c>
    </row>
    <row r="35" spans="1:8" ht="18" customHeight="1" x14ac:dyDescent="0.35">
      <c r="A35" s="7" t="s">
        <v>37</v>
      </c>
      <c r="B35" s="14">
        <v>4599</v>
      </c>
      <c r="C35" s="14">
        <v>59</v>
      </c>
      <c r="D35" s="14">
        <v>1546</v>
      </c>
      <c r="E35" s="14">
        <v>2994</v>
      </c>
      <c r="F35" s="14">
        <v>4837752</v>
      </c>
      <c r="G35" s="7" t="s">
        <v>197</v>
      </c>
      <c r="H35" s="15">
        <v>43904</v>
      </c>
    </row>
    <row r="36" spans="1:8" ht="18" customHeight="1" x14ac:dyDescent="0.35">
      <c r="A36" s="6" t="s">
        <v>38</v>
      </c>
      <c r="B36" s="12">
        <v>922</v>
      </c>
      <c r="C36" s="12">
        <v>75</v>
      </c>
      <c r="D36" s="12">
        <v>810</v>
      </c>
      <c r="E36" s="12">
        <v>37</v>
      </c>
      <c r="F36" s="16" t="s">
        <v>206</v>
      </c>
      <c r="G36" s="6" t="s">
        <v>197</v>
      </c>
      <c r="H36" s="13">
        <v>43909</v>
      </c>
    </row>
    <row r="37" spans="1:8" ht="18" customHeight="1" x14ac:dyDescent="0.35">
      <c r="A37" s="7" t="s">
        <v>39</v>
      </c>
      <c r="B37" s="14">
        <v>347923</v>
      </c>
      <c r="C37" s="14">
        <v>9187</v>
      </c>
      <c r="D37" s="14">
        <v>319954</v>
      </c>
      <c r="E37" s="14">
        <v>18782</v>
      </c>
      <c r="F37" s="14">
        <v>19132514</v>
      </c>
      <c r="G37" s="7" t="s">
        <v>199</v>
      </c>
      <c r="H37" s="15">
        <v>43893</v>
      </c>
    </row>
    <row r="38" spans="1:8" ht="18" customHeight="1" x14ac:dyDescent="0.35">
      <c r="A38" s="6" t="s">
        <v>40</v>
      </c>
      <c r="B38" s="12">
        <v>86783</v>
      </c>
      <c r="C38" s="12">
        <v>4656</v>
      </c>
      <c r="D38" s="12">
        <v>78869</v>
      </c>
      <c r="E38" s="12">
        <v>3258</v>
      </c>
      <c r="F38" s="16">
        <v>1411778724</v>
      </c>
      <c r="G38" s="6" t="s">
        <v>197</v>
      </c>
      <c r="H38" s="13">
        <v>43786</v>
      </c>
    </row>
    <row r="39" spans="1:8" ht="18" customHeight="1" x14ac:dyDescent="0.35">
      <c r="A39" s="7" t="s">
        <v>41</v>
      </c>
      <c r="B39" s="14">
        <v>257101</v>
      </c>
      <c r="C39" s="14">
        <v>8777</v>
      </c>
      <c r="D39" s="14">
        <v>131161</v>
      </c>
      <c r="E39" s="14">
        <v>117163</v>
      </c>
      <c r="F39" s="14">
        <v>50936262</v>
      </c>
      <c r="G39" s="7" t="s">
        <v>199</v>
      </c>
      <c r="H39" s="15">
        <v>43896</v>
      </c>
    </row>
    <row r="40" spans="1:8" ht="18" customHeight="1" x14ac:dyDescent="0.35">
      <c r="A40" s="6" t="s">
        <v>42</v>
      </c>
      <c r="B40" s="12">
        <v>354</v>
      </c>
      <c r="C40" s="12">
        <v>7</v>
      </c>
      <c r="D40" s="12">
        <v>328</v>
      </c>
      <c r="E40" s="12">
        <v>19</v>
      </c>
      <c r="F40" s="12">
        <v>871326</v>
      </c>
      <c r="G40" s="6" t="s">
        <v>197</v>
      </c>
      <c r="H40" s="13">
        <v>43951</v>
      </c>
    </row>
    <row r="41" spans="1:8" ht="18" customHeight="1" x14ac:dyDescent="0.35">
      <c r="A41" s="7" t="s">
        <v>43</v>
      </c>
      <c r="B41" s="14">
        <v>3200</v>
      </c>
      <c r="C41" s="14">
        <v>54</v>
      </c>
      <c r="D41" s="14">
        <v>829</v>
      </c>
      <c r="E41" s="14">
        <v>2317</v>
      </c>
      <c r="F41" s="14">
        <v>5530506</v>
      </c>
      <c r="G41" s="7" t="s">
        <v>197</v>
      </c>
      <c r="H41" s="15">
        <v>43904</v>
      </c>
    </row>
    <row r="42" spans="1:8" ht="18" customHeight="1" x14ac:dyDescent="0.35">
      <c r="A42" s="6" t="s">
        <v>44</v>
      </c>
      <c r="B42" s="12">
        <v>8844</v>
      </c>
      <c r="C42" s="12">
        <v>208</v>
      </c>
      <c r="D42" s="12">
        <v>5700</v>
      </c>
      <c r="E42" s="12">
        <v>2936</v>
      </c>
      <c r="F42" s="16">
        <v>96076573</v>
      </c>
      <c r="G42" s="6" t="s">
        <v>197</v>
      </c>
      <c r="H42" s="13">
        <v>43900</v>
      </c>
    </row>
    <row r="43" spans="1:8" ht="18" customHeight="1" x14ac:dyDescent="0.35">
      <c r="A43" s="7" t="s">
        <v>45</v>
      </c>
      <c r="B43" s="14">
        <v>15841</v>
      </c>
      <c r="C43" s="14">
        <v>115</v>
      </c>
      <c r="D43" s="14">
        <v>3824</v>
      </c>
      <c r="E43" s="14">
        <v>11902</v>
      </c>
      <c r="F43" s="14">
        <v>5098730</v>
      </c>
      <c r="G43" s="7" t="s">
        <v>198</v>
      </c>
      <c r="H43" s="15">
        <v>43896</v>
      </c>
    </row>
    <row r="44" spans="1:8" ht="18" customHeight="1" x14ac:dyDescent="0.35">
      <c r="A44" s="6" t="s">
        <v>46</v>
      </c>
      <c r="B44" s="12">
        <v>15655</v>
      </c>
      <c r="C44" s="12">
        <v>96</v>
      </c>
      <c r="D44" s="12">
        <v>10361</v>
      </c>
      <c r="E44" s="12">
        <v>5198</v>
      </c>
      <c r="F44" s="16">
        <v>26172000</v>
      </c>
      <c r="G44" s="6" t="s">
        <v>197</v>
      </c>
      <c r="H44" s="13">
        <v>43901</v>
      </c>
    </row>
    <row r="45" spans="1:8" ht="18" customHeight="1" x14ac:dyDescent="0.35">
      <c r="A45" s="7" t="s">
        <v>47</v>
      </c>
      <c r="B45" s="14">
        <v>4881</v>
      </c>
      <c r="C45" s="14">
        <v>139</v>
      </c>
      <c r="D45" s="14">
        <v>3936</v>
      </c>
      <c r="E45" s="14">
        <v>806</v>
      </c>
      <c r="F45" s="14">
        <v>4102577</v>
      </c>
      <c r="G45" s="7" t="s">
        <v>196</v>
      </c>
      <c r="H45" s="15">
        <v>43886</v>
      </c>
    </row>
    <row r="46" spans="1:8" ht="18" customHeight="1" x14ac:dyDescent="0.35">
      <c r="A46" s="6" t="s">
        <v>48</v>
      </c>
      <c r="B46" s="12">
        <v>2532</v>
      </c>
      <c r="C46" s="12">
        <v>87</v>
      </c>
      <c r="D46" s="12">
        <v>2351</v>
      </c>
      <c r="E46" s="12">
        <v>94</v>
      </c>
      <c r="F46" s="12">
        <v>11325899</v>
      </c>
      <c r="G46" s="6" t="s">
        <v>198</v>
      </c>
      <c r="H46" s="13">
        <v>43901</v>
      </c>
    </row>
    <row r="47" spans="1:8" ht="18" customHeight="1" x14ac:dyDescent="0.35">
      <c r="A47" s="7" t="s">
        <v>49</v>
      </c>
      <c r="B47" s="14">
        <v>1060</v>
      </c>
      <c r="C47" s="14">
        <v>19</v>
      </c>
      <c r="D47" s="14">
        <v>852</v>
      </c>
      <c r="E47" s="14">
        <v>189</v>
      </c>
      <c r="F47" s="14">
        <v>1208238</v>
      </c>
      <c r="G47" s="7" t="s">
        <v>195</v>
      </c>
      <c r="H47" s="15">
        <v>43899</v>
      </c>
    </row>
    <row r="48" spans="1:8" ht="18" customHeight="1" x14ac:dyDescent="0.35">
      <c r="A48" s="6" t="s">
        <v>50</v>
      </c>
      <c r="B48" s="12">
        <v>15516</v>
      </c>
      <c r="C48" s="12">
        <v>373</v>
      </c>
      <c r="D48" s="12">
        <v>11428</v>
      </c>
      <c r="E48" s="12">
        <v>3715</v>
      </c>
      <c r="F48" s="12">
        <v>10711019</v>
      </c>
      <c r="G48" s="6" t="s">
        <v>196</v>
      </c>
      <c r="H48" s="13">
        <v>43891</v>
      </c>
    </row>
    <row r="49" spans="1:8" ht="18" customHeight="1" x14ac:dyDescent="0.35">
      <c r="A49" s="7" t="s">
        <v>51</v>
      </c>
      <c r="B49" s="14">
        <v>13761</v>
      </c>
      <c r="C49" s="14">
        <v>613</v>
      </c>
      <c r="D49" s="14">
        <v>12605</v>
      </c>
      <c r="E49" s="14">
        <v>543</v>
      </c>
      <c r="F49" s="14">
        <v>5794279</v>
      </c>
      <c r="G49" s="7" t="s">
        <v>196</v>
      </c>
      <c r="H49" s="15">
        <v>43888</v>
      </c>
    </row>
    <row r="50" spans="1:8" ht="18" customHeight="1" x14ac:dyDescent="0.35">
      <c r="A50" s="6" t="s">
        <v>52</v>
      </c>
      <c r="B50" s="12">
        <v>5059</v>
      </c>
      <c r="C50" s="12">
        <v>58</v>
      </c>
      <c r="D50" s="12">
        <v>4977</v>
      </c>
      <c r="E50" s="12">
        <v>24</v>
      </c>
      <c r="F50" s="12">
        <v>989387</v>
      </c>
      <c r="G50" s="6" t="s">
        <v>197</v>
      </c>
      <c r="H50" s="13">
        <v>43908</v>
      </c>
    </row>
    <row r="51" spans="1:8" ht="18" customHeight="1" x14ac:dyDescent="0.35">
      <c r="A51" s="7" t="s">
        <v>53</v>
      </c>
      <c r="B51" s="14">
        <v>18</v>
      </c>
      <c r="C51" s="14">
        <v>0</v>
      </c>
      <c r="D51" s="14">
        <v>18</v>
      </c>
      <c r="E51" s="14">
        <v>0</v>
      </c>
      <c r="F51" s="14">
        <v>72004</v>
      </c>
      <c r="G51" s="7" t="s">
        <v>198</v>
      </c>
      <c r="H51" s="15">
        <v>43912</v>
      </c>
    </row>
    <row r="52" spans="1:8" ht="18" customHeight="1" x14ac:dyDescent="0.35">
      <c r="A52" s="6" t="s">
        <v>54</v>
      </c>
      <c r="B52" s="12">
        <v>64156</v>
      </c>
      <c r="C52" s="12">
        <v>1083</v>
      </c>
      <c r="D52" s="12">
        <v>30204</v>
      </c>
      <c r="E52" s="12">
        <v>32869</v>
      </c>
      <c r="F52" s="12">
        <v>10858648</v>
      </c>
      <c r="G52" s="6" t="s">
        <v>198</v>
      </c>
      <c r="H52" s="13">
        <v>43891</v>
      </c>
    </row>
    <row r="53" spans="1:8" ht="18" customHeight="1" x14ac:dyDescent="0.35">
      <c r="A53" s="7" t="s">
        <v>55</v>
      </c>
      <c r="B53" s="14">
        <v>81161</v>
      </c>
      <c r="C53" s="14">
        <v>5532</v>
      </c>
      <c r="D53" s="14">
        <v>34896</v>
      </c>
      <c r="E53" s="14">
        <v>40733</v>
      </c>
      <c r="F53" s="14">
        <v>17668824</v>
      </c>
      <c r="G53" s="7" t="s">
        <v>199</v>
      </c>
      <c r="H53" s="15">
        <v>43890</v>
      </c>
    </row>
    <row r="54" spans="1:8" ht="18" customHeight="1" x14ac:dyDescent="0.35">
      <c r="A54" s="6" t="s">
        <v>56</v>
      </c>
      <c r="B54" s="12">
        <v>92482</v>
      </c>
      <c r="C54" s="12">
        <v>4652</v>
      </c>
      <c r="D54" s="12">
        <v>34838</v>
      </c>
      <c r="E54" s="12">
        <v>52992</v>
      </c>
      <c r="F54" s="12">
        <v>102516525</v>
      </c>
      <c r="G54" s="6" t="s">
        <v>197</v>
      </c>
      <c r="H54" s="13">
        <v>43875</v>
      </c>
    </row>
    <row r="55" spans="1:8" ht="18" customHeight="1" x14ac:dyDescent="0.35">
      <c r="A55" s="7" t="s">
        <v>57</v>
      </c>
      <c r="B55" s="14">
        <v>15035</v>
      </c>
      <c r="C55" s="14">
        <v>408</v>
      </c>
      <c r="D55" s="14">
        <v>7778</v>
      </c>
      <c r="E55" s="14">
        <v>6849</v>
      </c>
      <c r="F55" s="14">
        <v>6489514</v>
      </c>
      <c r="G55" s="7" t="s">
        <v>198</v>
      </c>
      <c r="H55" s="15">
        <v>43909</v>
      </c>
    </row>
    <row r="56" spans="1:8" ht="18" customHeight="1" x14ac:dyDescent="0.35">
      <c r="A56" s="6" t="s">
        <v>58</v>
      </c>
      <c r="B56" s="12">
        <v>3071</v>
      </c>
      <c r="C56" s="12">
        <v>51</v>
      </c>
      <c r="D56" s="12">
        <v>842</v>
      </c>
      <c r="E56" s="12">
        <v>2178</v>
      </c>
      <c r="F56" s="12">
        <v>1407001</v>
      </c>
      <c r="G56" s="6" t="s">
        <v>197</v>
      </c>
      <c r="H56" s="13">
        <v>43904</v>
      </c>
    </row>
    <row r="57" spans="1:8" ht="18" customHeight="1" x14ac:dyDescent="0.35">
      <c r="A57" s="7" t="s">
        <v>59</v>
      </c>
      <c r="B57" s="14">
        <v>265</v>
      </c>
      <c r="C57" s="14">
        <v>0</v>
      </c>
      <c r="D57" s="14">
        <v>191</v>
      </c>
      <c r="E57" s="14">
        <v>74</v>
      </c>
      <c r="F57" s="14">
        <v>3551175</v>
      </c>
      <c r="G57" s="7" t="s">
        <v>197</v>
      </c>
      <c r="H57" s="15">
        <v>43911</v>
      </c>
    </row>
    <row r="58" spans="1:8" ht="18" customHeight="1" x14ac:dyDescent="0.35">
      <c r="A58" s="6" t="s">
        <v>60</v>
      </c>
      <c r="B58" s="12">
        <v>2034</v>
      </c>
      <c r="C58" s="12">
        <v>69</v>
      </c>
      <c r="D58" s="12">
        <v>1923</v>
      </c>
      <c r="E58" s="12">
        <v>42</v>
      </c>
      <c r="F58" s="12">
        <v>1326627</v>
      </c>
      <c r="G58" s="6" t="s">
        <v>196</v>
      </c>
      <c r="H58" s="13">
        <v>43888</v>
      </c>
    </row>
    <row r="59" spans="1:8" ht="18" customHeight="1" x14ac:dyDescent="0.35">
      <c r="A59" s="7" t="s">
        <v>61</v>
      </c>
      <c r="B59" s="14">
        <v>2316</v>
      </c>
      <c r="C59" s="14">
        <v>34</v>
      </c>
      <c r="D59" s="14">
        <v>1025</v>
      </c>
      <c r="E59" s="14">
        <v>1257</v>
      </c>
      <c r="F59" s="14">
        <v>1161348</v>
      </c>
      <c r="G59" s="7" t="s">
        <v>197</v>
      </c>
      <c r="H59" s="15">
        <v>43904</v>
      </c>
    </row>
    <row r="60" spans="1:8" ht="18" customHeight="1" x14ac:dyDescent="0.35">
      <c r="A60" s="6" t="s">
        <v>62</v>
      </c>
      <c r="B60" s="12">
        <v>14547</v>
      </c>
      <c r="C60" s="12">
        <v>228</v>
      </c>
      <c r="D60" s="12">
        <v>6386</v>
      </c>
      <c r="E60" s="12">
        <v>7933</v>
      </c>
      <c r="F60" s="12">
        <v>115223736</v>
      </c>
      <c r="G60" s="6" t="s">
        <v>197</v>
      </c>
      <c r="H60" s="13">
        <v>43903</v>
      </c>
    </row>
    <row r="61" spans="1:8" ht="18" customHeight="1" x14ac:dyDescent="0.35">
      <c r="A61" s="7" t="s">
        <v>63</v>
      </c>
      <c r="B61" s="14">
        <v>27</v>
      </c>
      <c r="C61" s="14">
        <v>0</v>
      </c>
      <c r="D61" s="14">
        <v>18</v>
      </c>
      <c r="E61" s="14">
        <v>9</v>
      </c>
      <c r="F61" s="14">
        <v>897095</v>
      </c>
      <c r="G61" s="7" t="s">
        <v>200</v>
      </c>
      <c r="H61" s="15">
        <v>43909</v>
      </c>
    </row>
    <row r="62" spans="1:8" ht="18" customHeight="1" x14ac:dyDescent="0.35">
      <c r="A62" s="6" t="s">
        <v>64</v>
      </c>
      <c r="B62" s="12">
        <v>7398</v>
      </c>
      <c r="C62" s="12">
        <v>329</v>
      </c>
      <c r="D62" s="12">
        <v>6920</v>
      </c>
      <c r="E62" s="12">
        <v>149</v>
      </c>
      <c r="F62" s="12">
        <v>5541604</v>
      </c>
      <c r="G62" s="6" t="s">
        <v>196</v>
      </c>
      <c r="H62" s="13">
        <v>43887</v>
      </c>
    </row>
    <row r="63" spans="1:8" ht="18" customHeight="1" x14ac:dyDescent="0.35">
      <c r="A63" s="7" t="s">
        <v>65</v>
      </c>
      <c r="B63" s="14">
        <v>220352</v>
      </c>
      <c r="C63" s="14">
        <v>30212</v>
      </c>
      <c r="D63" s="14">
        <v>81212</v>
      </c>
      <c r="E63" s="14">
        <v>108928</v>
      </c>
      <c r="F63" s="14">
        <v>65288306</v>
      </c>
      <c r="G63" s="7" t="s">
        <v>196</v>
      </c>
      <c r="H63" s="15">
        <v>43826</v>
      </c>
    </row>
    <row r="64" spans="1:8" ht="18" customHeight="1" x14ac:dyDescent="0.35">
      <c r="A64" s="6" t="s">
        <v>66</v>
      </c>
      <c r="B64" s="12">
        <v>7189</v>
      </c>
      <c r="C64" s="12">
        <v>49</v>
      </c>
      <c r="D64" s="12">
        <v>4682</v>
      </c>
      <c r="E64" s="12">
        <v>2458</v>
      </c>
      <c r="F64" s="12">
        <v>2230563</v>
      </c>
      <c r="G64" s="6" t="s">
        <v>197</v>
      </c>
      <c r="H64" s="13">
        <v>43902</v>
      </c>
    </row>
    <row r="65" spans="1:8" ht="18" customHeight="1" x14ac:dyDescent="0.35">
      <c r="A65" s="7" t="s">
        <v>67</v>
      </c>
      <c r="B65" s="14">
        <v>326</v>
      </c>
      <c r="C65" s="14">
        <v>8</v>
      </c>
      <c r="D65" s="14">
        <v>66</v>
      </c>
      <c r="E65" s="14">
        <v>252</v>
      </c>
      <c r="F65" s="14">
        <v>2422754</v>
      </c>
      <c r="G65" s="7" t="s">
        <v>197</v>
      </c>
      <c r="H65" s="15">
        <v>43907</v>
      </c>
    </row>
    <row r="66" spans="1:8" ht="18" customHeight="1" x14ac:dyDescent="0.35">
      <c r="A66" s="6" t="s">
        <v>68</v>
      </c>
      <c r="B66" s="12">
        <v>1137</v>
      </c>
      <c r="C66" s="12">
        <v>16</v>
      </c>
      <c r="D66" s="12">
        <v>922</v>
      </c>
      <c r="E66" s="12">
        <v>199</v>
      </c>
      <c r="F66" s="12">
        <v>3988368</v>
      </c>
      <c r="G66" s="6" t="s">
        <v>195</v>
      </c>
      <c r="H66" s="13">
        <v>43887</v>
      </c>
    </row>
    <row r="67" spans="1:8" ht="18" customHeight="1" x14ac:dyDescent="0.35">
      <c r="A67" s="7" t="s">
        <v>69</v>
      </c>
      <c r="B67" s="14">
        <v>207112</v>
      </c>
      <c r="C67" s="14">
        <v>9125</v>
      </c>
      <c r="D67" s="14">
        <v>190314</v>
      </c>
      <c r="E67" s="14">
        <v>7673</v>
      </c>
      <c r="F67" s="14">
        <v>83811260</v>
      </c>
      <c r="G67" s="7" t="s">
        <v>196</v>
      </c>
      <c r="H67" s="15">
        <v>43857</v>
      </c>
    </row>
    <row r="68" spans="1:8" ht="18" customHeight="1" x14ac:dyDescent="0.35">
      <c r="A68" s="6" t="s">
        <v>70</v>
      </c>
      <c r="B68" s="12">
        <v>33624</v>
      </c>
      <c r="C68" s="12">
        <v>168</v>
      </c>
      <c r="D68" s="12">
        <v>29801</v>
      </c>
      <c r="E68" s="12">
        <v>3655</v>
      </c>
      <c r="F68" s="12">
        <v>31133483</v>
      </c>
      <c r="G68" s="6" t="s">
        <v>197</v>
      </c>
      <c r="H68" s="13">
        <v>43902</v>
      </c>
    </row>
    <row r="69" spans="1:8" ht="18" customHeight="1" x14ac:dyDescent="0.35">
      <c r="A69" s="7" t="s">
        <v>71</v>
      </c>
      <c r="B69" s="14">
        <v>4227</v>
      </c>
      <c r="C69" s="14">
        <v>202</v>
      </c>
      <c r="D69" s="14">
        <v>1374</v>
      </c>
      <c r="E69" s="14">
        <v>2651</v>
      </c>
      <c r="F69" s="14">
        <v>10417673</v>
      </c>
      <c r="G69" s="7" t="s">
        <v>196</v>
      </c>
      <c r="H69" s="15">
        <v>43887</v>
      </c>
    </row>
    <row r="70" spans="1:8" ht="18" customHeight="1" x14ac:dyDescent="0.35">
      <c r="A70" s="6" t="s">
        <v>72</v>
      </c>
      <c r="B70" s="12">
        <v>14</v>
      </c>
      <c r="C70" s="12">
        <v>0</v>
      </c>
      <c r="D70" s="12">
        <v>13</v>
      </c>
      <c r="E70" s="12">
        <v>1</v>
      </c>
      <c r="F70" s="12">
        <v>56780</v>
      </c>
      <c r="G70" s="6" t="s">
        <v>198</v>
      </c>
      <c r="H70" s="13">
        <v>43898</v>
      </c>
    </row>
    <row r="71" spans="1:8" ht="18" customHeight="1" x14ac:dyDescent="0.35">
      <c r="A71" s="7" t="s">
        <v>73</v>
      </c>
      <c r="B71" s="14">
        <v>23</v>
      </c>
      <c r="C71" s="14">
        <v>0</v>
      </c>
      <c r="D71" s="14">
        <v>23</v>
      </c>
      <c r="E71" s="14">
        <v>0</v>
      </c>
      <c r="F71" s="14">
        <v>112576</v>
      </c>
      <c r="G71" s="7" t="s">
        <v>198</v>
      </c>
      <c r="H71" s="15">
        <v>43912</v>
      </c>
    </row>
    <row r="72" spans="1:8" ht="18" customHeight="1" x14ac:dyDescent="0.35">
      <c r="A72" s="6" t="s">
        <v>74</v>
      </c>
      <c r="B72" s="12">
        <v>45309</v>
      </c>
      <c r="C72" s="12">
        <v>1761</v>
      </c>
      <c r="D72" s="12">
        <v>32455</v>
      </c>
      <c r="E72" s="12">
        <v>11093</v>
      </c>
      <c r="F72" s="12">
        <v>17946899</v>
      </c>
      <c r="G72" s="6" t="s">
        <v>198</v>
      </c>
      <c r="H72" s="13">
        <v>43903</v>
      </c>
    </row>
    <row r="73" spans="1:8" ht="18" customHeight="1" x14ac:dyDescent="0.35">
      <c r="A73" s="7" t="s">
        <v>75</v>
      </c>
      <c r="B73" s="14">
        <v>7055</v>
      </c>
      <c r="C73" s="14">
        <v>45</v>
      </c>
      <c r="D73" s="14">
        <v>6257</v>
      </c>
      <c r="E73" s="14">
        <v>753</v>
      </c>
      <c r="F73" s="14">
        <v>13164905</v>
      </c>
      <c r="G73" s="7" t="s">
        <v>197</v>
      </c>
      <c r="H73" s="15">
        <v>43903</v>
      </c>
    </row>
    <row r="74" spans="1:8" ht="18" customHeight="1" x14ac:dyDescent="0.35">
      <c r="A74" s="6" t="s">
        <v>76</v>
      </c>
      <c r="B74" s="12">
        <v>1954</v>
      </c>
      <c r="C74" s="12">
        <v>26</v>
      </c>
      <c r="D74" s="12">
        <v>803</v>
      </c>
      <c r="E74" s="12">
        <v>1125</v>
      </c>
      <c r="F74" s="12">
        <v>1972277</v>
      </c>
      <c r="G74" s="6" t="s">
        <v>197</v>
      </c>
      <c r="H74" s="13">
        <v>43915</v>
      </c>
    </row>
    <row r="75" spans="1:8" ht="18" customHeight="1" x14ac:dyDescent="0.35">
      <c r="A75" s="7" t="s">
        <v>77</v>
      </c>
      <c r="B75" s="14">
        <v>389</v>
      </c>
      <c r="C75" s="14">
        <v>20</v>
      </c>
      <c r="D75" s="14">
        <v>181</v>
      </c>
      <c r="E75" s="14">
        <v>188</v>
      </c>
      <c r="F75" s="14">
        <v>786936</v>
      </c>
      <c r="G75" s="7" t="s">
        <v>199</v>
      </c>
      <c r="H75" s="15">
        <v>43902</v>
      </c>
    </row>
    <row r="76" spans="1:8" ht="18" customHeight="1" x14ac:dyDescent="0.35">
      <c r="A76" s="6" t="s">
        <v>78</v>
      </c>
      <c r="B76" s="12">
        <v>7340</v>
      </c>
      <c r="C76" s="12">
        <v>158</v>
      </c>
      <c r="D76" s="12">
        <v>4365</v>
      </c>
      <c r="E76" s="12">
        <v>2817</v>
      </c>
      <c r="F76" s="12">
        <v>11416103</v>
      </c>
      <c r="G76" s="6" t="s">
        <v>198</v>
      </c>
      <c r="H76" s="13">
        <v>43909</v>
      </c>
    </row>
    <row r="77" spans="1:8" ht="18" customHeight="1" x14ac:dyDescent="0.35">
      <c r="A77" s="7" t="s">
        <v>79</v>
      </c>
      <c r="B77" s="14">
        <v>12</v>
      </c>
      <c r="C77" s="14">
        <v>0</v>
      </c>
      <c r="D77" s="14">
        <v>12</v>
      </c>
      <c r="E77" s="14">
        <v>0</v>
      </c>
      <c r="F77" s="17">
        <v>528</v>
      </c>
      <c r="G77" s="7" t="s">
        <v>196</v>
      </c>
      <c r="H77" s="15">
        <v>43912</v>
      </c>
    </row>
    <row r="78" spans="1:8" ht="18" customHeight="1" x14ac:dyDescent="0.35">
      <c r="A78" s="6" t="s">
        <v>80</v>
      </c>
      <c r="B78" s="12">
        <v>39741</v>
      </c>
      <c r="C78" s="12">
        <v>1166</v>
      </c>
      <c r="D78" s="12">
        <v>5039</v>
      </c>
      <c r="E78" s="12">
        <v>33536</v>
      </c>
      <c r="F78" s="16">
        <v>10012084</v>
      </c>
      <c r="G78" s="6" t="s">
        <v>198</v>
      </c>
      <c r="H78" s="13">
        <v>43907</v>
      </c>
    </row>
    <row r="79" spans="1:8" ht="18" customHeight="1" x14ac:dyDescent="0.35">
      <c r="A79" s="7" t="s">
        <v>81</v>
      </c>
      <c r="B79" s="14">
        <v>4448</v>
      </c>
      <c r="C79" s="14">
        <v>596</v>
      </c>
      <c r="D79" s="14">
        <v>3329</v>
      </c>
      <c r="E79" s="14">
        <v>523</v>
      </c>
      <c r="F79" s="14">
        <v>9657785</v>
      </c>
      <c r="G79" s="7" t="s">
        <v>196</v>
      </c>
      <c r="H79" s="15">
        <v>43894</v>
      </c>
    </row>
    <row r="80" spans="1:8" ht="18" customHeight="1" x14ac:dyDescent="0.35">
      <c r="A80" s="6" t="s">
        <v>82</v>
      </c>
      <c r="B80" s="12">
        <v>1854</v>
      </c>
      <c r="C80" s="12">
        <v>10</v>
      </c>
      <c r="D80" s="12">
        <v>1823</v>
      </c>
      <c r="E80" s="12">
        <v>21</v>
      </c>
      <c r="F80" s="12">
        <v>341465</v>
      </c>
      <c r="G80" s="6" t="s">
        <v>196</v>
      </c>
      <c r="H80" s="13">
        <v>43889</v>
      </c>
    </row>
    <row r="81" spans="1:8" ht="18" customHeight="1" x14ac:dyDescent="0.35">
      <c r="A81" s="7" t="s">
        <v>83</v>
      </c>
      <c r="B81" s="14">
        <v>1480073</v>
      </c>
      <c r="C81" s="14">
        <v>33408</v>
      </c>
      <c r="D81" s="14">
        <v>951166</v>
      </c>
      <c r="E81" s="14">
        <v>495499</v>
      </c>
      <c r="F81" s="14">
        <v>1381344997</v>
      </c>
      <c r="G81" s="7" t="s">
        <v>195</v>
      </c>
      <c r="H81" s="15">
        <v>43860</v>
      </c>
    </row>
    <row r="82" spans="1:8" ht="18" customHeight="1" x14ac:dyDescent="0.35">
      <c r="A82" s="6" t="s">
        <v>84</v>
      </c>
      <c r="B82" s="12">
        <v>100303</v>
      </c>
      <c r="C82" s="12">
        <v>4838</v>
      </c>
      <c r="D82" s="12">
        <v>58173</v>
      </c>
      <c r="E82" s="12">
        <v>37292</v>
      </c>
      <c r="F82" s="12">
        <v>273808365</v>
      </c>
      <c r="G82" s="6" t="s">
        <v>195</v>
      </c>
      <c r="H82" s="13">
        <v>43892</v>
      </c>
    </row>
    <row r="83" spans="1:8" ht="18" customHeight="1" x14ac:dyDescent="0.35">
      <c r="A83" s="7" t="s">
        <v>85</v>
      </c>
      <c r="B83" s="14">
        <v>293606</v>
      </c>
      <c r="C83" s="14">
        <v>15912</v>
      </c>
      <c r="D83" s="14">
        <v>255144</v>
      </c>
      <c r="E83" s="14">
        <v>22550</v>
      </c>
      <c r="F83" s="14">
        <v>84097623</v>
      </c>
      <c r="G83" s="7" t="s">
        <v>195</v>
      </c>
      <c r="H83" s="15">
        <v>43880</v>
      </c>
    </row>
    <row r="84" spans="1:8" ht="18" customHeight="1" x14ac:dyDescent="0.35">
      <c r="A84" s="6" t="s">
        <v>86</v>
      </c>
      <c r="B84" s="12">
        <v>112585</v>
      </c>
      <c r="C84" s="12">
        <v>4458</v>
      </c>
      <c r="D84" s="12">
        <v>77144</v>
      </c>
      <c r="E84" s="12">
        <v>30983</v>
      </c>
      <c r="F84" s="12">
        <v>40306025</v>
      </c>
      <c r="G84" s="6" t="s">
        <v>195</v>
      </c>
      <c r="H84" s="13">
        <v>43883</v>
      </c>
    </row>
    <row r="85" spans="1:8" ht="18" customHeight="1" x14ac:dyDescent="0.35">
      <c r="A85" s="7" t="s">
        <v>87</v>
      </c>
      <c r="B85" s="14">
        <v>25892</v>
      </c>
      <c r="C85" s="14">
        <v>1764</v>
      </c>
      <c r="D85" s="14">
        <v>23364</v>
      </c>
      <c r="E85" s="14">
        <v>764</v>
      </c>
      <c r="F85" s="14">
        <v>4943200</v>
      </c>
      <c r="G85" s="7" t="s">
        <v>196</v>
      </c>
      <c r="H85" s="15">
        <v>43890</v>
      </c>
    </row>
    <row r="86" spans="1:8" ht="18" customHeight="1" x14ac:dyDescent="0.35">
      <c r="A86" s="6" t="s">
        <v>88</v>
      </c>
      <c r="B86" s="12">
        <v>63985</v>
      </c>
      <c r="C86" s="12">
        <v>474</v>
      </c>
      <c r="D86" s="12">
        <v>27133</v>
      </c>
      <c r="E86" s="12">
        <v>36378</v>
      </c>
      <c r="F86" s="12">
        <v>9197590</v>
      </c>
      <c r="G86" s="6" t="s">
        <v>195</v>
      </c>
      <c r="H86" s="13">
        <v>43882</v>
      </c>
    </row>
    <row r="87" spans="1:8" ht="18" customHeight="1" x14ac:dyDescent="0.35">
      <c r="A87" s="7" t="s">
        <v>89</v>
      </c>
      <c r="B87" s="14">
        <v>246286</v>
      </c>
      <c r="C87" s="14">
        <v>35112</v>
      </c>
      <c r="D87" s="14">
        <v>198593</v>
      </c>
      <c r="E87" s="14">
        <v>12581</v>
      </c>
      <c r="F87" s="14">
        <v>60452568</v>
      </c>
      <c r="G87" s="7" t="s">
        <v>196</v>
      </c>
      <c r="H87" s="15">
        <v>43861</v>
      </c>
    </row>
    <row r="88" spans="1:8" ht="18" customHeight="1" x14ac:dyDescent="0.35">
      <c r="A88" s="6" t="s">
        <v>90</v>
      </c>
      <c r="B88" s="12">
        <v>853</v>
      </c>
      <c r="C88" s="12">
        <v>10</v>
      </c>
      <c r="D88" s="12">
        <v>714</v>
      </c>
      <c r="E88" s="12">
        <v>129</v>
      </c>
      <c r="F88" s="12">
        <v>2962478</v>
      </c>
      <c r="G88" s="6" t="s">
        <v>198</v>
      </c>
      <c r="H88" s="13">
        <v>43900</v>
      </c>
    </row>
    <row r="89" spans="1:8" ht="18" customHeight="1" x14ac:dyDescent="0.35">
      <c r="A89" s="7" t="s">
        <v>91</v>
      </c>
      <c r="B89" s="14">
        <v>31142</v>
      </c>
      <c r="C89" s="14">
        <v>998</v>
      </c>
      <c r="D89" s="14">
        <v>21970</v>
      </c>
      <c r="E89" s="14">
        <v>8174</v>
      </c>
      <c r="F89" s="14">
        <v>126435859</v>
      </c>
      <c r="G89" s="7" t="s">
        <v>195</v>
      </c>
      <c r="H89" s="15">
        <v>43846</v>
      </c>
    </row>
    <row r="90" spans="1:8" ht="18" customHeight="1" x14ac:dyDescent="0.35">
      <c r="A90" s="6" t="s">
        <v>92</v>
      </c>
      <c r="B90" s="12">
        <v>1176</v>
      </c>
      <c r="C90" s="12">
        <v>11</v>
      </c>
      <c r="D90" s="12">
        <v>1041</v>
      </c>
      <c r="E90" s="12">
        <v>124</v>
      </c>
      <c r="F90" s="12">
        <v>10213138</v>
      </c>
      <c r="G90" s="6" t="s">
        <v>195</v>
      </c>
      <c r="H90" s="13">
        <v>43892</v>
      </c>
    </row>
    <row r="91" spans="1:8" ht="18" customHeight="1" x14ac:dyDescent="0.35">
      <c r="A91" s="7" t="s">
        <v>93</v>
      </c>
      <c r="B91" s="14">
        <v>84648</v>
      </c>
      <c r="C91" s="14">
        <v>585</v>
      </c>
      <c r="D91" s="14">
        <v>54404</v>
      </c>
      <c r="E91" s="14">
        <v>29659</v>
      </c>
      <c r="F91" s="14">
        <v>18798667</v>
      </c>
      <c r="G91" s="7" t="s">
        <v>195</v>
      </c>
      <c r="H91" s="15">
        <v>43903</v>
      </c>
    </row>
    <row r="92" spans="1:8" ht="18" customHeight="1" x14ac:dyDescent="0.35">
      <c r="A92" s="6" t="s">
        <v>94</v>
      </c>
      <c r="B92" s="12">
        <v>17975</v>
      </c>
      <c r="C92" s="12">
        <v>285</v>
      </c>
      <c r="D92" s="12">
        <v>7833</v>
      </c>
      <c r="E92" s="12">
        <v>9857</v>
      </c>
      <c r="F92" s="12">
        <v>53881160</v>
      </c>
      <c r="G92" s="6" t="s">
        <v>197</v>
      </c>
      <c r="H92" s="13">
        <v>43903</v>
      </c>
    </row>
    <row r="93" spans="1:8" ht="18" customHeight="1" x14ac:dyDescent="0.35">
      <c r="A93" s="7" t="s">
        <v>95</v>
      </c>
      <c r="B93" s="14">
        <v>7413</v>
      </c>
      <c r="C93" s="14">
        <v>185</v>
      </c>
      <c r="D93" s="14">
        <v>4027</v>
      </c>
      <c r="E93" s="14">
        <v>3201</v>
      </c>
      <c r="F93" s="18">
        <v>1790152</v>
      </c>
      <c r="G93" s="7" t="s">
        <v>196</v>
      </c>
      <c r="H93" s="15">
        <v>43903</v>
      </c>
    </row>
    <row r="94" spans="1:8" ht="18" customHeight="1" x14ac:dyDescent="0.35">
      <c r="A94" s="6" t="s">
        <v>96</v>
      </c>
      <c r="B94" s="12">
        <v>64379</v>
      </c>
      <c r="C94" s="12">
        <v>438</v>
      </c>
      <c r="D94" s="12">
        <v>55057</v>
      </c>
      <c r="E94" s="12">
        <v>8884</v>
      </c>
      <c r="F94" s="12">
        <v>4276658</v>
      </c>
      <c r="G94" s="6" t="s">
        <v>195</v>
      </c>
      <c r="H94" s="13">
        <v>43885</v>
      </c>
    </row>
    <row r="95" spans="1:8" ht="18" customHeight="1" x14ac:dyDescent="0.35">
      <c r="A95" s="7" t="s">
        <v>97</v>
      </c>
      <c r="B95" s="14">
        <v>33296</v>
      </c>
      <c r="C95" s="14">
        <v>1301</v>
      </c>
      <c r="D95" s="14">
        <v>21205</v>
      </c>
      <c r="E95" s="14">
        <v>10790</v>
      </c>
      <c r="F95" s="14">
        <v>6534479</v>
      </c>
      <c r="G95" s="7" t="s">
        <v>195</v>
      </c>
      <c r="H95" s="15">
        <v>43908</v>
      </c>
    </row>
    <row r="96" spans="1:8" ht="18" customHeight="1" x14ac:dyDescent="0.35">
      <c r="A96" s="6" t="s">
        <v>98</v>
      </c>
      <c r="B96" s="12">
        <v>20</v>
      </c>
      <c r="C96" s="12">
        <v>0</v>
      </c>
      <c r="D96" s="12">
        <v>19</v>
      </c>
      <c r="E96" s="12">
        <v>1</v>
      </c>
      <c r="F96" s="12">
        <v>7285750</v>
      </c>
      <c r="G96" s="6" t="s">
        <v>195</v>
      </c>
      <c r="H96" s="13">
        <v>43914</v>
      </c>
    </row>
    <row r="97" spans="1:19" ht="18" customHeight="1" x14ac:dyDescent="0.35">
      <c r="A97" s="7" t="s">
        <v>99</v>
      </c>
      <c r="B97" s="14">
        <v>1219</v>
      </c>
      <c r="C97" s="14">
        <v>31</v>
      </c>
      <c r="D97" s="14">
        <v>1045</v>
      </c>
      <c r="E97" s="14">
        <v>143</v>
      </c>
      <c r="F97" s="14">
        <v>1883936</v>
      </c>
      <c r="G97" s="7" t="s">
        <v>196</v>
      </c>
      <c r="H97" s="15">
        <v>43892</v>
      </c>
      <c r="S97" s="1">
        <v>43913</v>
      </c>
    </row>
    <row r="98" spans="1:19" ht="18" customHeight="1" x14ac:dyDescent="0.35">
      <c r="A98" s="6" t="s">
        <v>100</v>
      </c>
      <c r="B98" s="12">
        <v>3882</v>
      </c>
      <c r="C98" s="12">
        <v>51</v>
      </c>
      <c r="D98" s="12">
        <v>1709</v>
      </c>
      <c r="E98" s="12">
        <v>2122</v>
      </c>
      <c r="F98" s="12">
        <v>6822220</v>
      </c>
      <c r="G98" s="6" t="s">
        <v>195</v>
      </c>
      <c r="H98" s="13">
        <v>43882</v>
      </c>
    </row>
    <row r="99" spans="1:19" ht="18" customHeight="1" x14ac:dyDescent="0.35">
      <c r="A99" s="7" t="s">
        <v>101</v>
      </c>
      <c r="B99" s="14">
        <v>505</v>
      </c>
      <c r="C99" s="14">
        <v>12</v>
      </c>
      <c r="D99" s="14">
        <v>128</v>
      </c>
      <c r="E99" s="14">
        <v>365</v>
      </c>
      <c r="F99" s="14">
        <v>2143943</v>
      </c>
      <c r="G99" s="7" t="s">
        <v>197</v>
      </c>
      <c r="H99" s="15">
        <v>43964</v>
      </c>
    </row>
    <row r="100" spans="1:19" ht="18" customHeight="1" x14ac:dyDescent="0.35">
      <c r="A100" s="6" t="s">
        <v>102</v>
      </c>
      <c r="B100" s="12">
        <v>1167</v>
      </c>
      <c r="C100" s="12">
        <v>72</v>
      </c>
      <c r="D100" s="12">
        <v>646</v>
      </c>
      <c r="E100" s="12">
        <v>449</v>
      </c>
      <c r="F100" s="12">
        <v>5068618</v>
      </c>
      <c r="G100" s="6" t="s">
        <v>197</v>
      </c>
      <c r="H100" s="13">
        <v>43906</v>
      </c>
    </row>
    <row r="101" spans="1:19" ht="18" customHeight="1" x14ac:dyDescent="0.35">
      <c r="A101" s="7" t="s">
        <v>103</v>
      </c>
      <c r="B101" s="14">
        <v>2827</v>
      </c>
      <c r="C101" s="14">
        <v>64</v>
      </c>
      <c r="D101" s="14">
        <v>577</v>
      </c>
      <c r="E101" s="14">
        <v>2186</v>
      </c>
      <c r="F101" s="14">
        <v>6880353</v>
      </c>
      <c r="G101" s="7" t="s">
        <v>197</v>
      </c>
      <c r="H101" s="15">
        <v>43914</v>
      </c>
    </row>
    <row r="102" spans="1:19" ht="18" customHeight="1" x14ac:dyDescent="0.35">
      <c r="A102" s="6" t="s">
        <v>104</v>
      </c>
      <c r="B102" s="12">
        <v>86</v>
      </c>
      <c r="C102" s="12">
        <v>1</v>
      </c>
      <c r="D102" s="12">
        <v>81</v>
      </c>
      <c r="E102" s="12">
        <v>4</v>
      </c>
      <c r="F102" s="12">
        <v>38139</v>
      </c>
      <c r="G102" s="6" t="s">
        <v>196</v>
      </c>
      <c r="H102" s="13">
        <v>43893</v>
      </c>
    </row>
    <row r="103" spans="1:19" ht="18" customHeight="1" x14ac:dyDescent="0.35">
      <c r="A103" s="7" t="s">
        <v>105</v>
      </c>
      <c r="B103" s="14">
        <v>2019</v>
      </c>
      <c r="C103" s="14">
        <v>80</v>
      </c>
      <c r="D103" s="14">
        <v>1620</v>
      </c>
      <c r="E103" s="14">
        <v>319</v>
      </c>
      <c r="F103" s="14">
        <v>2718121</v>
      </c>
      <c r="G103" s="7" t="s">
        <v>196</v>
      </c>
      <c r="H103" s="15">
        <v>43889</v>
      </c>
    </row>
    <row r="104" spans="1:19" ht="18" customHeight="1" x14ac:dyDescent="0.35">
      <c r="A104" s="6" t="s">
        <v>106</v>
      </c>
      <c r="B104" s="12">
        <v>6321</v>
      </c>
      <c r="C104" s="12">
        <v>112</v>
      </c>
      <c r="D104" s="12">
        <v>4825</v>
      </c>
      <c r="E104" s="12">
        <v>1384</v>
      </c>
      <c r="F104" s="12">
        <v>626952</v>
      </c>
      <c r="G104" s="6" t="s">
        <v>196</v>
      </c>
      <c r="H104" s="13">
        <v>43890</v>
      </c>
    </row>
    <row r="105" spans="1:19" ht="18" customHeight="1" x14ac:dyDescent="0.35">
      <c r="A105" s="7" t="s">
        <v>107</v>
      </c>
      <c r="B105" s="14">
        <v>9690</v>
      </c>
      <c r="C105" s="14">
        <v>91</v>
      </c>
      <c r="D105" s="14">
        <v>6260</v>
      </c>
      <c r="E105" s="14">
        <v>3339</v>
      </c>
      <c r="F105" s="14">
        <v>27755708</v>
      </c>
      <c r="G105" s="7" t="s">
        <v>197</v>
      </c>
      <c r="H105" s="15">
        <v>43910</v>
      </c>
    </row>
    <row r="106" spans="1:19" ht="18" customHeight="1" x14ac:dyDescent="0.35">
      <c r="A106" s="6" t="s">
        <v>108</v>
      </c>
      <c r="B106" s="12">
        <v>3664</v>
      </c>
      <c r="C106" s="12">
        <v>99</v>
      </c>
      <c r="D106" s="12">
        <v>1645</v>
      </c>
      <c r="E106" s="12">
        <v>1920</v>
      </c>
      <c r="F106" s="12">
        <v>19174839</v>
      </c>
      <c r="G106" s="6" t="s">
        <v>197</v>
      </c>
      <c r="H106" s="13">
        <v>43922</v>
      </c>
    </row>
    <row r="107" spans="1:19" ht="18" customHeight="1" x14ac:dyDescent="0.35">
      <c r="A107" s="7" t="s">
        <v>109</v>
      </c>
      <c r="B107" s="14">
        <v>8904</v>
      </c>
      <c r="C107" s="14">
        <v>124</v>
      </c>
      <c r="D107" s="14">
        <v>8601</v>
      </c>
      <c r="E107" s="14">
        <v>179</v>
      </c>
      <c r="F107" s="14">
        <v>32406372</v>
      </c>
      <c r="G107" s="7" t="s">
        <v>195</v>
      </c>
      <c r="H107" s="15">
        <v>43855</v>
      </c>
    </row>
    <row r="108" spans="1:19" ht="18" customHeight="1" x14ac:dyDescent="0.35">
      <c r="A108" s="6" t="s">
        <v>110</v>
      </c>
      <c r="B108" s="12">
        <v>3369</v>
      </c>
      <c r="C108" s="12">
        <v>15</v>
      </c>
      <c r="D108" s="12">
        <v>2547</v>
      </c>
      <c r="E108" s="12">
        <v>807</v>
      </c>
      <c r="F108" s="12">
        <v>541448</v>
      </c>
      <c r="G108" s="6" t="s">
        <v>195</v>
      </c>
      <c r="H108" s="13">
        <v>43897</v>
      </c>
    </row>
    <row r="109" spans="1:19" ht="18" customHeight="1" x14ac:dyDescent="0.35">
      <c r="A109" s="7" t="s">
        <v>111</v>
      </c>
      <c r="B109" s="14">
        <v>2513</v>
      </c>
      <c r="C109" s="14">
        <v>124</v>
      </c>
      <c r="D109" s="14">
        <v>1913</v>
      </c>
      <c r="E109" s="14">
        <v>476</v>
      </c>
      <c r="F109" s="14">
        <v>20302901</v>
      </c>
      <c r="G109" s="7" t="s">
        <v>197</v>
      </c>
      <c r="H109" s="15">
        <v>43915</v>
      </c>
    </row>
    <row r="110" spans="1:19" ht="18" customHeight="1" x14ac:dyDescent="0.35">
      <c r="A110" s="6" t="s">
        <v>112</v>
      </c>
      <c r="B110" s="12">
        <v>701</v>
      </c>
      <c r="C110" s="12">
        <v>9</v>
      </c>
      <c r="D110" s="12">
        <v>665</v>
      </c>
      <c r="E110" s="12">
        <v>27</v>
      </c>
      <c r="F110" s="12">
        <v>441663</v>
      </c>
      <c r="G110" s="6" t="s">
        <v>196</v>
      </c>
      <c r="H110" s="13">
        <v>43897</v>
      </c>
    </row>
    <row r="111" spans="1:19" ht="18" customHeight="1" x14ac:dyDescent="0.35">
      <c r="A111" s="7" t="s">
        <v>113</v>
      </c>
      <c r="B111" s="14">
        <v>6208</v>
      </c>
      <c r="C111" s="14">
        <v>156</v>
      </c>
      <c r="D111" s="14">
        <v>4653</v>
      </c>
      <c r="E111" s="14">
        <v>1399</v>
      </c>
      <c r="F111" s="14">
        <v>4660728</v>
      </c>
      <c r="G111" s="7" t="s">
        <v>197</v>
      </c>
      <c r="H111" s="15">
        <v>43903</v>
      </c>
    </row>
    <row r="112" spans="1:19" ht="18" customHeight="1" x14ac:dyDescent="0.35">
      <c r="A112" s="6" t="s">
        <v>114</v>
      </c>
      <c r="B112" s="12">
        <v>344</v>
      </c>
      <c r="C112" s="12">
        <v>10</v>
      </c>
      <c r="D112" s="12">
        <v>332</v>
      </c>
      <c r="E112" s="12">
        <v>2</v>
      </c>
      <c r="F112" s="12">
        <v>1271985</v>
      </c>
      <c r="G112" s="6" t="s">
        <v>197</v>
      </c>
      <c r="H112" s="13">
        <v>43908</v>
      </c>
    </row>
    <row r="113" spans="1:8" ht="18" customHeight="1" x14ac:dyDescent="0.35">
      <c r="A113" s="7" t="s">
        <v>115</v>
      </c>
      <c r="B113" s="14">
        <v>395489</v>
      </c>
      <c r="C113" s="14">
        <v>44022</v>
      </c>
      <c r="D113" s="14">
        <v>303810</v>
      </c>
      <c r="E113" s="14">
        <v>47657</v>
      </c>
      <c r="F113" s="14">
        <v>129066160</v>
      </c>
      <c r="G113" s="7" t="s">
        <v>198</v>
      </c>
      <c r="H113" s="15">
        <v>43889</v>
      </c>
    </row>
    <row r="114" spans="1:8" ht="18" customHeight="1" x14ac:dyDescent="0.35">
      <c r="A114" s="6" t="s">
        <v>116</v>
      </c>
      <c r="B114" s="12">
        <v>23154</v>
      </c>
      <c r="C114" s="12">
        <v>748</v>
      </c>
      <c r="D114" s="12">
        <v>16154</v>
      </c>
      <c r="E114" s="12">
        <v>6252</v>
      </c>
      <c r="F114" s="12">
        <v>4032983</v>
      </c>
      <c r="G114" s="6" t="s">
        <v>196</v>
      </c>
      <c r="H114" s="13">
        <v>43897</v>
      </c>
    </row>
    <row r="115" spans="1:8" ht="18" customHeight="1" x14ac:dyDescent="0.35">
      <c r="A115" s="7" t="s">
        <v>117</v>
      </c>
      <c r="B115" s="14">
        <v>116</v>
      </c>
      <c r="C115" s="14">
        <v>4</v>
      </c>
      <c r="D115" s="14">
        <v>104</v>
      </c>
      <c r="E115" s="14">
        <v>8</v>
      </c>
      <c r="F115" s="14">
        <v>39270</v>
      </c>
      <c r="G115" s="7" t="s">
        <v>196</v>
      </c>
      <c r="H115" s="15">
        <v>43890</v>
      </c>
    </row>
    <row r="116" spans="1:8" ht="18" customHeight="1" x14ac:dyDescent="0.35">
      <c r="A116" s="6" t="s">
        <v>118</v>
      </c>
      <c r="B116" s="12">
        <v>289</v>
      </c>
      <c r="C116" s="12">
        <v>0</v>
      </c>
      <c r="D116" s="12">
        <v>222</v>
      </c>
      <c r="E116" s="12">
        <v>67</v>
      </c>
      <c r="F116" s="12">
        <v>3283344</v>
      </c>
      <c r="G116" s="6" t="s">
        <v>195</v>
      </c>
      <c r="H116" s="13">
        <v>43900</v>
      </c>
    </row>
    <row r="117" spans="1:8" ht="18" customHeight="1" x14ac:dyDescent="0.35">
      <c r="A117" s="7" t="s">
        <v>119</v>
      </c>
      <c r="B117" s="14">
        <v>2893</v>
      </c>
      <c r="C117" s="14">
        <v>45</v>
      </c>
      <c r="D117" s="14">
        <v>809</v>
      </c>
      <c r="E117" s="14">
        <v>2039</v>
      </c>
      <c r="F117" s="14">
        <v>628074</v>
      </c>
      <c r="G117" s="7" t="s">
        <v>196</v>
      </c>
      <c r="H117" s="15">
        <v>43907</v>
      </c>
    </row>
    <row r="118" spans="1:8" ht="18" customHeight="1" x14ac:dyDescent="0.35">
      <c r="A118" s="6" t="s">
        <v>120</v>
      </c>
      <c r="B118" s="12">
        <v>20887</v>
      </c>
      <c r="C118" s="12">
        <v>316</v>
      </c>
      <c r="D118" s="12">
        <v>16553</v>
      </c>
      <c r="E118" s="12">
        <v>4018</v>
      </c>
      <c r="F118" s="12">
        <v>36953359</v>
      </c>
      <c r="G118" s="6" t="s">
        <v>197</v>
      </c>
      <c r="H118" s="13">
        <v>43892</v>
      </c>
    </row>
    <row r="119" spans="1:8" ht="18" customHeight="1" x14ac:dyDescent="0.35">
      <c r="A119" s="7" t="s">
        <v>121</v>
      </c>
      <c r="B119" s="14">
        <v>1701</v>
      </c>
      <c r="C119" s="14">
        <v>11</v>
      </c>
      <c r="D119" s="14">
        <v>0</v>
      </c>
      <c r="E119" s="14">
        <v>1690</v>
      </c>
      <c r="F119" s="14">
        <v>31333962</v>
      </c>
      <c r="G119" s="7" t="s">
        <v>197</v>
      </c>
      <c r="H119" s="15">
        <v>43912</v>
      </c>
    </row>
    <row r="120" spans="1:8" ht="18" customHeight="1" x14ac:dyDescent="0.35">
      <c r="A120" s="6" t="s">
        <v>122</v>
      </c>
      <c r="B120" s="12">
        <v>1843</v>
      </c>
      <c r="C120" s="12">
        <v>8</v>
      </c>
      <c r="D120" s="12">
        <v>101</v>
      </c>
      <c r="E120" s="12">
        <v>1734</v>
      </c>
      <c r="F120" s="12">
        <v>2545264</v>
      </c>
      <c r="G120" s="6" t="s">
        <v>197</v>
      </c>
      <c r="H120" s="13">
        <v>43904</v>
      </c>
    </row>
    <row r="121" spans="1:8" ht="18" customHeight="1" x14ac:dyDescent="0.35">
      <c r="A121" s="7" t="s">
        <v>123</v>
      </c>
      <c r="B121" s="14">
        <v>18752</v>
      </c>
      <c r="C121" s="14">
        <v>48</v>
      </c>
      <c r="D121" s="14">
        <v>13754</v>
      </c>
      <c r="E121" s="14">
        <v>4950</v>
      </c>
      <c r="F121" s="14">
        <v>29186486</v>
      </c>
      <c r="G121" s="7" t="s">
        <v>195</v>
      </c>
      <c r="H121" s="15">
        <v>43843</v>
      </c>
    </row>
    <row r="122" spans="1:8" ht="18" customHeight="1" x14ac:dyDescent="0.35">
      <c r="A122" s="6" t="s">
        <v>124</v>
      </c>
      <c r="B122" s="12">
        <v>53413</v>
      </c>
      <c r="C122" s="12">
        <v>6160</v>
      </c>
      <c r="D122" s="12">
        <v>189</v>
      </c>
      <c r="E122" s="12">
        <v>47064</v>
      </c>
      <c r="F122" s="12">
        <v>17138756</v>
      </c>
      <c r="G122" s="6" t="s">
        <v>196</v>
      </c>
      <c r="H122" s="13">
        <v>43888</v>
      </c>
    </row>
    <row r="123" spans="1:8" ht="18" customHeight="1" x14ac:dyDescent="0.35">
      <c r="A123" s="7" t="s">
        <v>125</v>
      </c>
      <c r="B123" s="14">
        <v>1557</v>
      </c>
      <c r="C123" s="14">
        <v>22</v>
      </c>
      <c r="D123" s="14">
        <v>1514</v>
      </c>
      <c r="E123" s="14">
        <v>21</v>
      </c>
      <c r="F123" s="14">
        <v>5002100</v>
      </c>
      <c r="G123" s="7" t="s">
        <v>200</v>
      </c>
      <c r="H123" s="15">
        <v>43889</v>
      </c>
    </row>
    <row r="124" spans="1:8" ht="18" customHeight="1" x14ac:dyDescent="0.35">
      <c r="A124" s="6" t="s">
        <v>126</v>
      </c>
      <c r="B124" s="12">
        <v>3439</v>
      </c>
      <c r="C124" s="12">
        <v>108</v>
      </c>
      <c r="D124" s="12">
        <v>2492</v>
      </c>
      <c r="E124" s="12">
        <v>839</v>
      </c>
      <c r="F124" s="12">
        <v>6632263</v>
      </c>
      <c r="G124" s="6" t="s">
        <v>198</v>
      </c>
      <c r="H124" s="13">
        <v>43908</v>
      </c>
    </row>
    <row r="125" spans="1:8" ht="18" customHeight="1" x14ac:dyDescent="0.35">
      <c r="A125" s="7" t="s">
        <v>127</v>
      </c>
      <c r="B125" s="14">
        <v>1132</v>
      </c>
      <c r="C125" s="14">
        <v>69</v>
      </c>
      <c r="D125" s="14">
        <v>1027</v>
      </c>
      <c r="E125" s="14">
        <v>36</v>
      </c>
      <c r="F125" s="14">
        <v>24281433</v>
      </c>
      <c r="G125" s="7" t="s">
        <v>197</v>
      </c>
      <c r="H125" s="15">
        <v>43909</v>
      </c>
    </row>
    <row r="126" spans="1:8" ht="18" customHeight="1" x14ac:dyDescent="0.35">
      <c r="A126" s="6" t="s">
        <v>128</v>
      </c>
      <c r="B126" s="12">
        <v>41180</v>
      </c>
      <c r="C126" s="12">
        <v>860</v>
      </c>
      <c r="D126" s="12">
        <v>18203</v>
      </c>
      <c r="E126" s="12">
        <v>22117</v>
      </c>
      <c r="F126" s="12">
        <v>206606300</v>
      </c>
      <c r="G126" s="6" t="s">
        <v>197</v>
      </c>
      <c r="H126" s="13">
        <v>43888</v>
      </c>
    </row>
    <row r="127" spans="1:8" ht="18" customHeight="1" x14ac:dyDescent="0.35">
      <c r="A127" s="7" t="s">
        <v>129</v>
      </c>
      <c r="B127" s="14">
        <v>10213</v>
      </c>
      <c r="C127" s="14">
        <v>466</v>
      </c>
      <c r="D127" s="14">
        <v>5564</v>
      </c>
      <c r="E127" s="14">
        <v>4183</v>
      </c>
      <c r="F127" s="14">
        <v>2083365</v>
      </c>
      <c r="G127" s="7" t="s">
        <v>196</v>
      </c>
      <c r="H127" s="15">
        <v>43887</v>
      </c>
    </row>
    <row r="128" spans="1:8" ht="18" customHeight="1" x14ac:dyDescent="0.35">
      <c r="A128" s="6" t="s">
        <v>130</v>
      </c>
      <c r="B128" s="12">
        <v>9132</v>
      </c>
      <c r="C128" s="12">
        <v>255</v>
      </c>
      <c r="D128" s="12">
        <v>8752</v>
      </c>
      <c r="E128" s="12">
        <v>125</v>
      </c>
      <c r="F128" s="12">
        <v>5425471</v>
      </c>
      <c r="G128" s="6" t="s">
        <v>196</v>
      </c>
      <c r="H128" s="13">
        <v>43887</v>
      </c>
    </row>
    <row r="129" spans="1:8" ht="18" customHeight="1" x14ac:dyDescent="0.35">
      <c r="A129" s="7" t="s">
        <v>131</v>
      </c>
      <c r="B129" s="14">
        <v>77058</v>
      </c>
      <c r="C129" s="14">
        <v>393</v>
      </c>
      <c r="D129" s="14">
        <v>57028</v>
      </c>
      <c r="E129" s="14">
        <v>19637</v>
      </c>
      <c r="F129" s="14">
        <v>5118446</v>
      </c>
      <c r="G129" s="7" t="s">
        <v>195</v>
      </c>
      <c r="H129" s="15">
        <v>43885</v>
      </c>
    </row>
    <row r="130" spans="1:8" ht="18" customHeight="1" x14ac:dyDescent="0.35">
      <c r="A130" s="6" t="s">
        <v>132</v>
      </c>
      <c r="B130" s="12">
        <v>274289</v>
      </c>
      <c r="C130" s="12">
        <v>5842</v>
      </c>
      <c r="D130" s="12">
        <v>241026</v>
      </c>
      <c r="E130" s="12">
        <v>27421</v>
      </c>
      <c r="F130" s="12">
        <v>221295851</v>
      </c>
      <c r="G130" s="6" t="s">
        <v>195</v>
      </c>
      <c r="H130" s="13">
        <v>43887</v>
      </c>
    </row>
    <row r="131" spans="1:8" ht="18" customHeight="1" x14ac:dyDescent="0.35">
      <c r="A131" s="7" t="s">
        <v>133</v>
      </c>
      <c r="B131" s="14">
        <v>61442</v>
      </c>
      <c r="C131" s="14">
        <v>1322</v>
      </c>
      <c r="D131" s="14">
        <v>35086</v>
      </c>
      <c r="E131" s="14">
        <v>25034</v>
      </c>
      <c r="F131" s="14">
        <v>5112340</v>
      </c>
      <c r="G131" s="7" t="s">
        <v>195</v>
      </c>
      <c r="H131" s="15">
        <v>43899</v>
      </c>
    </row>
    <row r="132" spans="1:8" ht="18" customHeight="1" x14ac:dyDescent="0.35">
      <c r="A132" s="6" t="s">
        <v>134</v>
      </c>
      <c r="B132" s="12">
        <v>62</v>
      </c>
      <c r="C132" s="12">
        <v>0</v>
      </c>
      <c r="D132" s="12">
        <v>11</v>
      </c>
      <c r="E132" s="12">
        <v>51</v>
      </c>
      <c r="F132" s="12">
        <v>8963009</v>
      </c>
      <c r="G132" s="6" t="s">
        <v>200</v>
      </c>
      <c r="H132" s="13">
        <v>43910</v>
      </c>
    </row>
    <row r="133" spans="1:8" ht="18" customHeight="1" x14ac:dyDescent="0.35">
      <c r="A133" s="7" t="s">
        <v>135</v>
      </c>
      <c r="B133" s="14">
        <v>4548</v>
      </c>
      <c r="C133" s="14">
        <v>43</v>
      </c>
      <c r="D133" s="14">
        <v>2905</v>
      </c>
      <c r="E133" s="14">
        <v>1600</v>
      </c>
      <c r="F133" s="14">
        <v>7141091</v>
      </c>
      <c r="G133" s="7" t="s">
        <v>199</v>
      </c>
      <c r="H133" s="15">
        <v>43897</v>
      </c>
    </row>
    <row r="134" spans="1:8" ht="18" customHeight="1" x14ac:dyDescent="0.35">
      <c r="A134" s="6" t="s">
        <v>136</v>
      </c>
      <c r="B134" s="12">
        <v>389717</v>
      </c>
      <c r="C134" s="12">
        <v>18418</v>
      </c>
      <c r="D134" s="12">
        <v>272547</v>
      </c>
      <c r="E134" s="12">
        <v>98752</v>
      </c>
      <c r="F134" s="12">
        <v>33016319</v>
      </c>
      <c r="G134" s="6" t="s">
        <v>199</v>
      </c>
      <c r="H134" s="13">
        <v>43896</v>
      </c>
    </row>
    <row r="135" spans="1:8" ht="18" customHeight="1" x14ac:dyDescent="0.35">
      <c r="A135" s="7" t="s">
        <v>137</v>
      </c>
      <c r="B135" s="14">
        <v>82040</v>
      </c>
      <c r="C135" s="14">
        <v>1945</v>
      </c>
      <c r="D135" s="14">
        <v>26446</v>
      </c>
      <c r="E135" s="14">
        <v>53649</v>
      </c>
      <c r="F135" s="14">
        <v>109722719</v>
      </c>
      <c r="G135" s="7" t="s">
        <v>195</v>
      </c>
      <c r="H135" s="15">
        <v>43860</v>
      </c>
    </row>
    <row r="136" spans="1:8" ht="18" customHeight="1" x14ac:dyDescent="0.35">
      <c r="A136" s="6" t="s">
        <v>138</v>
      </c>
      <c r="B136" s="12">
        <v>43402</v>
      </c>
      <c r="C136" s="12">
        <v>1676</v>
      </c>
      <c r="D136" s="12">
        <v>32856</v>
      </c>
      <c r="E136" s="12">
        <v>8870</v>
      </c>
      <c r="F136" s="12">
        <v>37842302</v>
      </c>
      <c r="G136" s="6" t="s">
        <v>196</v>
      </c>
      <c r="H136" s="13">
        <v>43894</v>
      </c>
    </row>
    <row r="137" spans="1:8" ht="18" customHeight="1" x14ac:dyDescent="0.35">
      <c r="A137" s="7" t="s">
        <v>139</v>
      </c>
      <c r="B137" s="14">
        <v>50299</v>
      </c>
      <c r="C137" s="14">
        <v>1719</v>
      </c>
      <c r="D137" s="14">
        <v>35375</v>
      </c>
      <c r="E137" s="14">
        <v>13205</v>
      </c>
      <c r="F137" s="14">
        <v>10193593</v>
      </c>
      <c r="G137" s="7" t="s">
        <v>196</v>
      </c>
      <c r="H137" s="15">
        <v>43892</v>
      </c>
    </row>
    <row r="138" spans="1:8" ht="18" customHeight="1" x14ac:dyDescent="0.35">
      <c r="A138" s="6" t="s">
        <v>140</v>
      </c>
      <c r="B138" s="12">
        <v>109597</v>
      </c>
      <c r="C138" s="12">
        <v>165</v>
      </c>
      <c r="D138" s="12">
        <v>106328</v>
      </c>
      <c r="E138" s="12">
        <v>3104</v>
      </c>
      <c r="F138" s="12">
        <v>2807805</v>
      </c>
      <c r="G138" s="6" t="s">
        <v>195</v>
      </c>
      <c r="H138" s="13">
        <v>43888</v>
      </c>
    </row>
    <row r="139" spans="1:8" ht="18" customHeight="1" x14ac:dyDescent="0.35">
      <c r="A139" s="7" t="s">
        <v>141</v>
      </c>
      <c r="B139" s="14">
        <v>45902</v>
      </c>
      <c r="C139" s="14">
        <v>2206</v>
      </c>
      <c r="D139" s="14">
        <v>25794</v>
      </c>
      <c r="E139" s="14">
        <v>17902</v>
      </c>
      <c r="F139" s="14">
        <v>19224023</v>
      </c>
      <c r="G139" s="7" t="s">
        <v>196</v>
      </c>
      <c r="H139" s="15">
        <v>43887</v>
      </c>
    </row>
    <row r="140" spans="1:8" ht="18" customHeight="1" x14ac:dyDescent="0.35">
      <c r="A140" s="6" t="s">
        <v>142</v>
      </c>
      <c r="B140" s="12">
        <v>816680</v>
      </c>
      <c r="C140" s="12">
        <v>13334</v>
      </c>
      <c r="D140" s="12">
        <v>602249</v>
      </c>
      <c r="E140" s="12">
        <v>201097</v>
      </c>
      <c r="F140" s="12">
        <v>145940924</v>
      </c>
      <c r="G140" s="6" t="s">
        <v>196</v>
      </c>
      <c r="H140" s="13">
        <v>43861</v>
      </c>
    </row>
    <row r="141" spans="1:8" ht="18" customHeight="1" x14ac:dyDescent="0.35">
      <c r="A141" s="7" t="s">
        <v>143</v>
      </c>
      <c r="B141" s="14">
        <v>1879</v>
      </c>
      <c r="C141" s="14">
        <v>5</v>
      </c>
      <c r="D141" s="14">
        <v>975</v>
      </c>
      <c r="E141" s="14">
        <v>899</v>
      </c>
      <c r="F141" s="14">
        <v>12981546</v>
      </c>
      <c r="G141" s="7" t="s">
        <v>197</v>
      </c>
      <c r="H141" s="15">
        <v>43904</v>
      </c>
    </row>
    <row r="142" spans="1:8" ht="18" customHeight="1" x14ac:dyDescent="0.35">
      <c r="A142" s="6" t="s">
        <v>144</v>
      </c>
      <c r="B142" s="12">
        <v>17</v>
      </c>
      <c r="C142" s="12">
        <v>0</v>
      </c>
      <c r="D142" s="12">
        <v>15</v>
      </c>
      <c r="E142" s="12">
        <v>2</v>
      </c>
      <c r="F142" s="12">
        <v>53237</v>
      </c>
      <c r="G142" s="6" t="s">
        <v>198</v>
      </c>
      <c r="H142" s="13">
        <v>43914</v>
      </c>
    </row>
    <row r="143" spans="1:8" ht="18" customHeight="1" x14ac:dyDescent="0.35">
      <c r="A143" s="7" t="s">
        <v>145</v>
      </c>
      <c r="B143" s="14">
        <v>24</v>
      </c>
      <c r="C143" s="14">
        <v>0</v>
      </c>
      <c r="D143" s="14">
        <v>22</v>
      </c>
      <c r="E143" s="14">
        <v>2</v>
      </c>
      <c r="F143" s="14">
        <v>183712</v>
      </c>
      <c r="G143" s="7" t="s">
        <v>198</v>
      </c>
      <c r="H143" s="15">
        <v>43903</v>
      </c>
    </row>
    <row r="144" spans="1:8" ht="18" customHeight="1" x14ac:dyDescent="0.35">
      <c r="A144" s="6" t="s">
        <v>146</v>
      </c>
      <c r="B144" s="12">
        <v>52</v>
      </c>
      <c r="C144" s="12">
        <v>0</v>
      </c>
      <c r="D144" s="12">
        <v>39</v>
      </c>
      <c r="E144" s="12">
        <v>13</v>
      </c>
      <c r="F144" s="16">
        <v>104000</v>
      </c>
      <c r="G144" s="6" t="s">
        <v>198</v>
      </c>
      <c r="H144" s="13">
        <v>43901</v>
      </c>
    </row>
    <row r="145" spans="1:8" ht="18" customHeight="1" x14ac:dyDescent="0.35">
      <c r="A145" s="7" t="s">
        <v>147</v>
      </c>
      <c r="B145" s="14">
        <v>699</v>
      </c>
      <c r="C145" s="14">
        <v>42</v>
      </c>
      <c r="D145" s="14">
        <v>657</v>
      </c>
      <c r="E145" s="14">
        <v>0</v>
      </c>
      <c r="F145" s="14">
        <v>33938</v>
      </c>
      <c r="G145" s="7" t="s">
        <v>196</v>
      </c>
      <c r="H145" s="15">
        <v>43888</v>
      </c>
    </row>
    <row r="146" spans="1:8" ht="18" customHeight="1" x14ac:dyDescent="0.35">
      <c r="A146" s="6" t="s">
        <v>148</v>
      </c>
      <c r="B146" s="12">
        <v>865</v>
      </c>
      <c r="C146" s="12">
        <v>14</v>
      </c>
      <c r="D146" s="12">
        <v>734</v>
      </c>
      <c r="E146" s="12">
        <v>117</v>
      </c>
      <c r="F146" s="12">
        <v>219544</v>
      </c>
      <c r="G146" s="6" t="s">
        <v>197</v>
      </c>
      <c r="H146" s="13">
        <v>43927</v>
      </c>
    </row>
    <row r="147" spans="1:8" ht="18" customHeight="1" x14ac:dyDescent="0.35">
      <c r="A147" s="7" t="s">
        <v>149</v>
      </c>
      <c r="B147" s="14">
        <v>268934</v>
      </c>
      <c r="C147" s="14">
        <v>2760</v>
      </c>
      <c r="D147" s="14">
        <v>222936</v>
      </c>
      <c r="E147" s="14">
        <v>43238</v>
      </c>
      <c r="F147" s="14">
        <v>34865919</v>
      </c>
      <c r="G147" s="7" t="s">
        <v>195</v>
      </c>
      <c r="H147" s="15">
        <v>43892</v>
      </c>
    </row>
    <row r="148" spans="1:8" ht="18" customHeight="1" x14ac:dyDescent="0.35">
      <c r="A148" s="6" t="s">
        <v>150</v>
      </c>
      <c r="B148" s="12">
        <v>9764</v>
      </c>
      <c r="C148" s="12">
        <v>194</v>
      </c>
      <c r="D148" s="12">
        <v>6477</v>
      </c>
      <c r="E148" s="12">
        <v>3093</v>
      </c>
      <c r="F148" s="12">
        <v>16783877</v>
      </c>
      <c r="G148" s="6" t="s">
        <v>197</v>
      </c>
      <c r="H148" s="13">
        <v>43892</v>
      </c>
    </row>
    <row r="149" spans="1:8" ht="18" customHeight="1" x14ac:dyDescent="0.35">
      <c r="A149" s="7" t="s">
        <v>151</v>
      </c>
      <c r="B149" s="14">
        <v>24141</v>
      </c>
      <c r="C149" s="14">
        <v>543</v>
      </c>
      <c r="D149" s="14">
        <v>0</v>
      </c>
      <c r="E149" s="14">
        <v>23598</v>
      </c>
      <c r="F149" s="14">
        <v>8733665</v>
      </c>
      <c r="G149" s="7" t="s">
        <v>196</v>
      </c>
      <c r="H149" s="15">
        <v>43896</v>
      </c>
    </row>
    <row r="150" spans="1:8" ht="18" customHeight="1" x14ac:dyDescent="0.35">
      <c r="A150" s="6" t="s">
        <v>152</v>
      </c>
      <c r="B150" s="12">
        <v>114</v>
      </c>
      <c r="C150" s="12">
        <v>0</v>
      </c>
      <c r="D150" s="12">
        <v>39</v>
      </c>
      <c r="E150" s="12">
        <v>75</v>
      </c>
      <c r="F150" s="12">
        <v>98408</v>
      </c>
      <c r="G150" s="6" t="s">
        <v>197</v>
      </c>
      <c r="H150" s="13">
        <v>43904</v>
      </c>
    </row>
    <row r="151" spans="1:8" ht="18" customHeight="1" x14ac:dyDescent="0.35">
      <c r="A151" s="7" t="s">
        <v>153</v>
      </c>
      <c r="B151" s="14">
        <v>1783</v>
      </c>
      <c r="C151" s="14">
        <v>66</v>
      </c>
      <c r="D151" s="14">
        <v>1317</v>
      </c>
      <c r="E151" s="14">
        <v>400</v>
      </c>
      <c r="F151" s="14">
        <v>7992169</v>
      </c>
      <c r="G151" s="7" t="s">
        <v>197</v>
      </c>
      <c r="H151" s="15">
        <v>43921</v>
      </c>
    </row>
    <row r="152" spans="1:8" ht="18" customHeight="1" x14ac:dyDescent="0.35">
      <c r="A152" s="6" t="s">
        <v>154</v>
      </c>
      <c r="B152" s="12">
        <v>50838</v>
      </c>
      <c r="C152" s="12">
        <v>27</v>
      </c>
      <c r="D152" s="12">
        <v>45692</v>
      </c>
      <c r="E152" s="12">
        <v>5119</v>
      </c>
      <c r="F152" s="12">
        <v>5854932</v>
      </c>
      <c r="G152" s="6" t="s">
        <v>195</v>
      </c>
      <c r="H152" s="13">
        <v>43853</v>
      </c>
    </row>
    <row r="153" spans="1:8" ht="18" customHeight="1" x14ac:dyDescent="0.35">
      <c r="A153" s="7" t="s">
        <v>155</v>
      </c>
      <c r="B153" s="14">
        <v>2181</v>
      </c>
      <c r="C153" s="14">
        <v>28</v>
      </c>
      <c r="D153" s="14">
        <v>1616</v>
      </c>
      <c r="E153" s="14">
        <v>537</v>
      </c>
      <c r="F153" s="14">
        <v>5459915</v>
      </c>
      <c r="G153" s="7" t="s">
        <v>196</v>
      </c>
      <c r="H153" s="15">
        <v>43896</v>
      </c>
    </row>
    <row r="154" spans="1:8" ht="18" customHeight="1" x14ac:dyDescent="0.35">
      <c r="A154" s="6" t="s">
        <v>156</v>
      </c>
      <c r="B154" s="12">
        <v>2087</v>
      </c>
      <c r="C154" s="12">
        <v>116</v>
      </c>
      <c r="D154" s="12">
        <v>1733</v>
      </c>
      <c r="E154" s="12">
        <v>238</v>
      </c>
      <c r="F154" s="12">
        <v>2078968</v>
      </c>
      <c r="G154" s="6" t="s">
        <v>196</v>
      </c>
      <c r="H154" s="13">
        <v>43894</v>
      </c>
    </row>
    <row r="155" spans="1:8" ht="18" customHeight="1" x14ac:dyDescent="0.35">
      <c r="A155" s="7" t="s">
        <v>157</v>
      </c>
      <c r="B155" s="14">
        <v>3196</v>
      </c>
      <c r="C155" s="14">
        <v>93</v>
      </c>
      <c r="D155" s="14">
        <v>1543</v>
      </c>
      <c r="E155" s="14">
        <v>1560</v>
      </c>
      <c r="F155" s="14">
        <v>15933012</v>
      </c>
      <c r="G155" s="7" t="s">
        <v>197</v>
      </c>
      <c r="H155" s="15">
        <v>43906</v>
      </c>
    </row>
    <row r="156" spans="1:8" ht="18" customHeight="1" x14ac:dyDescent="0.35">
      <c r="A156" s="6" t="s">
        <v>158</v>
      </c>
      <c r="B156" s="12">
        <v>452529</v>
      </c>
      <c r="C156" s="12">
        <v>7067</v>
      </c>
      <c r="D156" s="12">
        <v>274925</v>
      </c>
      <c r="E156" s="12">
        <v>170537</v>
      </c>
      <c r="F156" s="12">
        <v>59381566</v>
      </c>
      <c r="G156" s="6" t="s">
        <v>197</v>
      </c>
      <c r="H156" s="13">
        <v>43895</v>
      </c>
    </row>
    <row r="157" spans="1:8" ht="18" customHeight="1" x14ac:dyDescent="0.35">
      <c r="A157" s="7" t="s">
        <v>159</v>
      </c>
      <c r="B157" s="14">
        <v>14203</v>
      </c>
      <c r="C157" s="14">
        <v>300</v>
      </c>
      <c r="D157" s="14">
        <v>13007</v>
      </c>
      <c r="E157" s="14">
        <v>896</v>
      </c>
      <c r="F157" s="14">
        <v>51273732</v>
      </c>
      <c r="G157" s="7" t="s">
        <v>195</v>
      </c>
      <c r="H157" s="15">
        <v>43850</v>
      </c>
    </row>
    <row r="158" spans="1:8" ht="18" customHeight="1" x14ac:dyDescent="0.35">
      <c r="A158" s="6" t="s">
        <v>160</v>
      </c>
      <c r="B158" s="12">
        <v>2305</v>
      </c>
      <c r="C158" s="12">
        <v>46</v>
      </c>
      <c r="D158" s="12">
        <v>1175</v>
      </c>
      <c r="E158" s="12">
        <v>1084</v>
      </c>
      <c r="F158" s="12">
        <v>11206572</v>
      </c>
      <c r="G158" s="6" t="s">
        <v>197</v>
      </c>
      <c r="H158" s="13">
        <v>43926</v>
      </c>
    </row>
    <row r="159" spans="1:8" ht="18" customHeight="1" x14ac:dyDescent="0.35">
      <c r="A159" s="7" t="s">
        <v>161</v>
      </c>
      <c r="B159" s="14">
        <v>272421</v>
      </c>
      <c r="C159" s="14">
        <v>28432</v>
      </c>
      <c r="D159" s="14">
        <v>150376</v>
      </c>
      <c r="E159" s="14">
        <v>93613</v>
      </c>
      <c r="F159" s="14">
        <v>46756648</v>
      </c>
      <c r="G159" s="7" t="s">
        <v>196</v>
      </c>
      <c r="H159" s="15">
        <v>43861</v>
      </c>
    </row>
    <row r="160" spans="1:8" ht="18" customHeight="1" x14ac:dyDescent="0.35">
      <c r="A160" s="6" t="s">
        <v>162</v>
      </c>
      <c r="B160" s="12">
        <v>2805</v>
      </c>
      <c r="C160" s="12">
        <v>11</v>
      </c>
      <c r="D160" s="12">
        <v>2121</v>
      </c>
      <c r="E160" s="12">
        <v>673</v>
      </c>
      <c r="F160" s="12">
        <v>21422362</v>
      </c>
      <c r="G160" s="6" t="s">
        <v>195</v>
      </c>
      <c r="H160" s="13">
        <v>43857</v>
      </c>
    </row>
    <row r="161" spans="1:8" ht="18" customHeight="1" x14ac:dyDescent="0.35">
      <c r="A161" s="7" t="s">
        <v>163</v>
      </c>
      <c r="B161" s="14">
        <v>11424</v>
      </c>
      <c r="C161" s="14">
        <v>720</v>
      </c>
      <c r="D161" s="14">
        <v>5939</v>
      </c>
      <c r="E161" s="14">
        <v>4765</v>
      </c>
      <c r="F161" s="14">
        <v>43943536</v>
      </c>
      <c r="G161" s="7" t="s">
        <v>197</v>
      </c>
      <c r="H161" s="15">
        <v>43903</v>
      </c>
    </row>
    <row r="162" spans="1:8" ht="18" customHeight="1" x14ac:dyDescent="0.35">
      <c r="A162" s="6" t="s">
        <v>164</v>
      </c>
      <c r="B162" s="12">
        <v>1483</v>
      </c>
      <c r="C162" s="12">
        <v>24</v>
      </c>
      <c r="D162" s="12">
        <v>925</v>
      </c>
      <c r="E162" s="12">
        <v>534</v>
      </c>
      <c r="F162" s="12">
        <v>587154</v>
      </c>
      <c r="G162" s="6" t="s">
        <v>199</v>
      </c>
      <c r="H162" s="13">
        <v>43903</v>
      </c>
    </row>
    <row r="163" spans="1:8" ht="18" customHeight="1" x14ac:dyDescent="0.35">
      <c r="A163" s="7" t="s">
        <v>165</v>
      </c>
      <c r="B163" s="14">
        <v>79395</v>
      </c>
      <c r="C163" s="14">
        <v>5700</v>
      </c>
      <c r="D163" s="14">
        <v>0</v>
      </c>
      <c r="E163" s="14">
        <v>73695</v>
      </c>
      <c r="F163" s="14">
        <v>10105596</v>
      </c>
      <c r="G163" s="7" t="s">
        <v>196</v>
      </c>
      <c r="H163" s="15">
        <v>43861</v>
      </c>
    </row>
    <row r="164" spans="1:8" ht="18" customHeight="1" x14ac:dyDescent="0.35">
      <c r="A164" s="6" t="s">
        <v>166</v>
      </c>
      <c r="B164" s="12">
        <v>34477</v>
      </c>
      <c r="C164" s="12">
        <v>1978</v>
      </c>
      <c r="D164" s="12">
        <v>30900</v>
      </c>
      <c r="E164" s="12">
        <v>1599</v>
      </c>
      <c r="F164" s="12">
        <v>8660952</v>
      </c>
      <c r="G164" s="6" t="s">
        <v>196</v>
      </c>
      <c r="H164" s="13">
        <v>43886</v>
      </c>
    </row>
    <row r="165" spans="1:8" ht="18" customHeight="1" x14ac:dyDescent="0.35">
      <c r="A165" s="7" t="s">
        <v>167</v>
      </c>
      <c r="B165" s="14">
        <v>674</v>
      </c>
      <c r="C165" s="14">
        <v>40</v>
      </c>
      <c r="D165" s="14">
        <v>0</v>
      </c>
      <c r="E165" s="14">
        <v>634</v>
      </c>
      <c r="F165" s="14">
        <v>17539600</v>
      </c>
      <c r="G165" s="7" t="s">
        <v>195</v>
      </c>
      <c r="H165" s="15">
        <v>43912</v>
      </c>
    </row>
    <row r="166" spans="1:8" ht="18" customHeight="1" x14ac:dyDescent="0.35">
      <c r="A166" s="6" t="s">
        <v>190</v>
      </c>
      <c r="B166" s="12">
        <v>462</v>
      </c>
      <c r="C166" s="12">
        <v>7</v>
      </c>
      <c r="D166" s="12">
        <v>440</v>
      </c>
      <c r="E166" s="12">
        <v>15</v>
      </c>
      <c r="F166" s="12">
        <v>23821199</v>
      </c>
      <c r="G166" s="6" t="s">
        <v>195</v>
      </c>
      <c r="H166" s="13">
        <v>43851</v>
      </c>
    </row>
    <row r="167" spans="1:8" ht="18" customHeight="1" x14ac:dyDescent="0.35">
      <c r="A167" s="7" t="s">
        <v>168</v>
      </c>
      <c r="B167" s="14">
        <v>7235</v>
      </c>
      <c r="C167" s="14">
        <v>60</v>
      </c>
      <c r="D167" s="14">
        <v>6028</v>
      </c>
      <c r="E167" s="14">
        <v>1147</v>
      </c>
      <c r="F167" s="14">
        <v>9557468</v>
      </c>
      <c r="G167" s="7" t="s">
        <v>195</v>
      </c>
      <c r="H167" s="15">
        <v>43951</v>
      </c>
    </row>
    <row r="168" spans="1:8" ht="18" customHeight="1" x14ac:dyDescent="0.35">
      <c r="A168" s="6" t="s">
        <v>169</v>
      </c>
      <c r="B168" s="12">
        <v>509</v>
      </c>
      <c r="C168" s="12">
        <v>21</v>
      </c>
      <c r="D168" s="12">
        <v>183</v>
      </c>
      <c r="E168" s="12">
        <v>305</v>
      </c>
      <c r="F168" s="12">
        <v>59886383</v>
      </c>
      <c r="G168" s="6" t="s">
        <v>197</v>
      </c>
      <c r="H168" s="13">
        <v>43906</v>
      </c>
    </row>
    <row r="169" spans="1:8" ht="18" customHeight="1" x14ac:dyDescent="0.35">
      <c r="A169" s="7" t="s">
        <v>170</v>
      </c>
      <c r="B169" s="14">
        <v>3297</v>
      </c>
      <c r="C169" s="14">
        <v>58</v>
      </c>
      <c r="D169" s="14">
        <v>3111</v>
      </c>
      <c r="E169" s="14">
        <v>128</v>
      </c>
      <c r="F169" s="14">
        <v>69817894</v>
      </c>
      <c r="G169" s="7" t="s">
        <v>195</v>
      </c>
      <c r="H169" s="15">
        <v>43843</v>
      </c>
    </row>
    <row r="170" spans="1:8" ht="18" customHeight="1" x14ac:dyDescent="0.35">
      <c r="A170" s="6" t="s">
        <v>171</v>
      </c>
      <c r="B170" s="12">
        <v>24</v>
      </c>
      <c r="C170" s="12">
        <v>0</v>
      </c>
      <c r="D170" s="12">
        <v>0</v>
      </c>
      <c r="E170" s="12">
        <v>24</v>
      </c>
      <c r="F170" s="12">
        <v>1320812</v>
      </c>
      <c r="G170" s="6" t="s">
        <v>195</v>
      </c>
      <c r="H170" s="13">
        <v>43911</v>
      </c>
    </row>
    <row r="171" spans="1:8" ht="18" customHeight="1" x14ac:dyDescent="0.35">
      <c r="A171" s="7" t="s">
        <v>172</v>
      </c>
      <c r="B171" s="14">
        <v>874</v>
      </c>
      <c r="C171" s="14">
        <v>18</v>
      </c>
      <c r="D171" s="14">
        <v>607</v>
      </c>
      <c r="E171" s="14">
        <v>249</v>
      </c>
      <c r="F171" s="14">
        <v>8296582</v>
      </c>
      <c r="G171" s="7" t="s">
        <v>197</v>
      </c>
      <c r="H171" s="15">
        <v>43896</v>
      </c>
    </row>
    <row r="172" spans="1:8" ht="18" customHeight="1" x14ac:dyDescent="0.35">
      <c r="A172" s="6" t="s">
        <v>173</v>
      </c>
      <c r="B172" s="12">
        <v>148</v>
      </c>
      <c r="C172" s="12">
        <v>8</v>
      </c>
      <c r="D172" s="12">
        <v>128</v>
      </c>
      <c r="E172" s="12">
        <v>12</v>
      </c>
      <c r="F172" s="12">
        <v>1399950</v>
      </c>
      <c r="G172" s="6" t="s">
        <v>198</v>
      </c>
      <c r="H172" s="13">
        <v>43902</v>
      </c>
    </row>
    <row r="173" spans="1:8" ht="18" customHeight="1" x14ac:dyDescent="0.35">
      <c r="A173" s="7" t="s">
        <v>174</v>
      </c>
      <c r="B173" s="14">
        <v>1455</v>
      </c>
      <c r="C173" s="14">
        <v>50</v>
      </c>
      <c r="D173" s="14">
        <v>1157</v>
      </c>
      <c r="E173" s="14">
        <v>248</v>
      </c>
      <c r="F173" s="14">
        <v>11830801</v>
      </c>
      <c r="G173" s="7" t="s">
        <v>197</v>
      </c>
      <c r="H173" s="15">
        <v>43892</v>
      </c>
    </row>
    <row r="174" spans="1:8" ht="18" customHeight="1" x14ac:dyDescent="0.35">
      <c r="A174" s="6" t="s">
        <v>175</v>
      </c>
      <c r="B174" s="12">
        <v>227019</v>
      </c>
      <c r="C174" s="12">
        <v>5630</v>
      </c>
      <c r="D174" s="12">
        <v>210469</v>
      </c>
      <c r="E174" s="12">
        <v>10920</v>
      </c>
      <c r="F174" s="12">
        <v>84428331</v>
      </c>
      <c r="G174" s="6" t="s">
        <v>195</v>
      </c>
      <c r="H174" s="13">
        <v>43901</v>
      </c>
    </row>
    <row r="175" spans="1:8" ht="18" customHeight="1" x14ac:dyDescent="0.35">
      <c r="A175" s="7" t="s">
        <v>176</v>
      </c>
      <c r="B175" s="14">
        <v>4290259</v>
      </c>
      <c r="C175" s="14">
        <v>148011</v>
      </c>
      <c r="D175" s="14">
        <v>1325804</v>
      </c>
      <c r="E175" s="14">
        <v>2816444</v>
      </c>
      <c r="F175" s="14">
        <v>331198130</v>
      </c>
      <c r="G175" s="7" t="s">
        <v>198</v>
      </c>
      <c r="H175" s="15">
        <v>43851</v>
      </c>
    </row>
    <row r="176" spans="1:8" ht="18" customHeight="1" x14ac:dyDescent="0.35">
      <c r="A176" s="6" t="s">
        <v>177</v>
      </c>
      <c r="B176" s="12">
        <v>1128</v>
      </c>
      <c r="C176" s="12">
        <v>2</v>
      </c>
      <c r="D176" s="12">
        <v>986</v>
      </c>
      <c r="E176" s="12">
        <v>140</v>
      </c>
      <c r="F176" s="12">
        <v>45867852</v>
      </c>
      <c r="G176" s="6" t="s">
        <v>197</v>
      </c>
      <c r="H176" s="13">
        <v>43912</v>
      </c>
    </row>
    <row r="177" spans="1:11" ht="18" customHeight="1" x14ac:dyDescent="0.35">
      <c r="A177" s="7" t="s">
        <v>178</v>
      </c>
      <c r="B177" s="14">
        <v>67096</v>
      </c>
      <c r="C177" s="14">
        <v>1636</v>
      </c>
      <c r="D177" s="14">
        <v>37202</v>
      </c>
      <c r="E177" s="14">
        <v>28258</v>
      </c>
      <c r="F177" s="14">
        <v>43705858</v>
      </c>
      <c r="G177" s="7" t="s">
        <v>196</v>
      </c>
      <c r="H177" s="15">
        <v>43893</v>
      </c>
    </row>
    <row r="178" spans="1:11" ht="18" customHeight="1" x14ac:dyDescent="0.35">
      <c r="A178" s="6" t="s">
        <v>179</v>
      </c>
      <c r="B178" s="12">
        <v>59177</v>
      </c>
      <c r="C178" s="12">
        <v>345</v>
      </c>
      <c r="D178" s="12">
        <v>52510</v>
      </c>
      <c r="E178" s="12">
        <v>6322</v>
      </c>
      <c r="F178" s="12">
        <v>9902079</v>
      </c>
      <c r="G178" s="6" t="s">
        <v>195</v>
      </c>
      <c r="H178" s="13">
        <v>43859</v>
      </c>
    </row>
    <row r="179" spans="1:11" ht="18" customHeight="1" x14ac:dyDescent="0.35">
      <c r="A179" s="7" t="s">
        <v>180</v>
      </c>
      <c r="B179" s="14">
        <v>301708</v>
      </c>
      <c r="C179" s="14">
        <v>45844</v>
      </c>
      <c r="D179" s="14">
        <v>1437</v>
      </c>
      <c r="E179" s="14">
        <v>254427</v>
      </c>
      <c r="F179" s="14">
        <v>67922029</v>
      </c>
      <c r="G179" s="7" t="s">
        <v>196</v>
      </c>
      <c r="H179" s="15">
        <v>43861</v>
      </c>
    </row>
    <row r="180" spans="1:11" ht="18" customHeight="1" x14ac:dyDescent="0.35">
      <c r="A180" s="6" t="s">
        <v>181</v>
      </c>
      <c r="B180" s="12">
        <v>1202</v>
      </c>
      <c r="C180" s="12">
        <v>35</v>
      </c>
      <c r="D180" s="12">
        <v>951</v>
      </c>
      <c r="E180" s="12">
        <v>216</v>
      </c>
      <c r="F180" s="12">
        <v>3474956</v>
      </c>
      <c r="G180" s="6" t="s">
        <v>199</v>
      </c>
      <c r="H180" s="13">
        <v>43903</v>
      </c>
    </row>
    <row r="181" spans="1:11" ht="18" customHeight="1" x14ac:dyDescent="0.35">
      <c r="A181" s="7" t="s">
        <v>182</v>
      </c>
      <c r="B181" s="14">
        <v>21209</v>
      </c>
      <c r="C181" s="14">
        <v>121</v>
      </c>
      <c r="D181" s="14">
        <v>11674</v>
      </c>
      <c r="E181" s="14">
        <v>9414</v>
      </c>
      <c r="F181" s="14">
        <v>33516027</v>
      </c>
      <c r="G181" s="7" t="s">
        <v>195</v>
      </c>
      <c r="H181" s="15">
        <v>43905</v>
      </c>
    </row>
    <row r="182" spans="1:11" ht="18" customHeight="1" x14ac:dyDescent="0.35">
      <c r="A182" s="6" t="s">
        <v>183</v>
      </c>
      <c r="B182" s="12">
        <v>15988</v>
      </c>
      <c r="C182" s="12">
        <v>146</v>
      </c>
      <c r="D182" s="12">
        <v>9959</v>
      </c>
      <c r="E182" s="12">
        <v>5883</v>
      </c>
      <c r="F182" s="12">
        <v>28427499</v>
      </c>
      <c r="G182" s="6" t="s">
        <v>199</v>
      </c>
      <c r="H182" s="13">
        <v>43903</v>
      </c>
      <c r="K182" s="1"/>
    </row>
    <row r="183" spans="1:11" ht="18" customHeight="1" x14ac:dyDescent="0.35">
      <c r="A183" s="7" t="s">
        <v>184</v>
      </c>
      <c r="B183" s="14">
        <v>431</v>
      </c>
      <c r="C183" s="14">
        <v>0</v>
      </c>
      <c r="D183" s="14">
        <v>365</v>
      </c>
      <c r="E183" s="14">
        <v>66</v>
      </c>
      <c r="F183" s="14">
        <v>97425470</v>
      </c>
      <c r="G183" s="7" t="s">
        <v>195</v>
      </c>
      <c r="H183" s="15">
        <v>43853</v>
      </c>
    </row>
    <row r="184" spans="1:11" ht="18" customHeight="1" x14ac:dyDescent="0.35">
      <c r="A184" s="6" t="s">
        <v>185</v>
      </c>
      <c r="B184" s="12">
        <v>10621</v>
      </c>
      <c r="C184" s="12">
        <v>78</v>
      </c>
      <c r="D184" s="12">
        <v>3752</v>
      </c>
      <c r="E184" s="12">
        <v>6791</v>
      </c>
      <c r="F184" s="16">
        <v>4800000</v>
      </c>
      <c r="G184" s="6" t="s">
        <v>195</v>
      </c>
      <c r="H184" s="13">
        <v>43895</v>
      </c>
    </row>
    <row r="185" spans="1:11" ht="18" customHeight="1" x14ac:dyDescent="0.35">
      <c r="A185" s="7" t="s">
        <v>186</v>
      </c>
      <c r="B185" s="14">
        <v>10</v>
      </c>
      <c r="C185" s="14">
        <v>1</v>
      </c>
      <c r="D185" s="14">
        <v>8</v>
      </c>
      <c r="E185" s="14">
        <v>1</v>
      </c>
      <c r="F185" s="14">
        <v>598682</v>
      </c>
      <c r="G185" s="7" t="s">
        <v>197</v>
      </c>
      <c r="H185" s="15">
        <v>43925</v>
      </c>
    </row>
    <row r="186" spans="1:11" ht="18" customHeight="1" x14ac:dyDescent="0.35">
      <c r="A186" s="6" t="s">
        <v>187</v>
      </c>
      <c r="B186" s="12">
        <v>1691</v>
      </c>
      <c r="C186" s="12">
        <v>483</v>
      </c>
      <c r="D186" s="12">
        <v>833</v>
      </c>
      <c r="E186" s="12">
        <v>375</v>
      </c>
      <c r="F186" s="12">
        <v>29886897</v>
      </c>
      <c r="G186" s="6" t="s">
        <v>195</v>
      </c>
      <c r="H186" s="13">
        <v>43931</v>
      </c>
    </row>
    <row r="187" spans="1:11" ht="18" customHeight="1" x14ac:dyDescent="0.35">
      <c r="A187" s="7" t="s">
        <v>188</v>
      </c>
      <c r="B187" s="14">
        <v>4552</v>
      </c>
      <c r="C187" s="14">
        <v>140</v>
      </c>
      <c r="D187" s="14">
        <v>2815</v>
      </c>
      <c r="E187" s="14">
        <v>1597</v>
      </c>
      <c r="F187" s="14">
        <v>18430129</v>
      </c>
      <c r="G187" s="7" t="s">
        <v>197</v>
      </c>
      <c r="H187" s="15">
        <v>43908</v>
      </c>
    </row>
    <row r="188" spans="1:11" ht="18" customHeight="1" x14ac:dyDescent="0.35">
      <c r="A188" s="8" t="s">
        <v>189</v>
      </c>
      <c r="B188" s="19">
        <v>2704</v>
      </c>
      <c r="C188" s="19">
        <v>36</v>
      </c>
      <c r="D188" s="19">
        <v>542</v>
      </c>
      <c r="E188" s="19">
        <v>2126</v>
      </c>
      <c r="F188" s="19">
        <v>14883803</v>
      </c>
      <c r="G188" s="8" t="s">
        <v>197</v>
      </c>
      <c r="H188" s="20">
        <v>43911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B062-EED8-4B2F-9FE7-618192618789}">
  <dimension ref="A1:S188"/>
  <sheetViews>
    <sheetView tabSelected="1" zoomScale="92" workbookViewId="0">
      <selection activeCell="G1" sqref="G1"/>
    </sheetView>
  </sheetViews>
  <sheetFormatPr defaultRowHeight="14.5" x14ac:dyDescent="0.35"/>
  <cols>
    <col min="1" max="1" width="28.90625" style="22" bestFit="1" customWidth="1"/>
    <col min="2" max="2" width="9.7265625" style="2" bestFit="1" customWidth="1"/>
    <col min="3" max="3" width="6.81640625" style="2" bestFit="1" customWidth="1"/>
    <col min="4" max="4" width="9.6328125" style="2" bestFit="1" customWidth="1"/>
    <col min="5" max="5" width="7.81640625" style="2" bestFit="1" customWidth="1"/>
    <col min="6" max="6" width="10.81640625" style="3" bestFit="1" customWidth="1"/>
    <col min="7" max="7" width="16.6328125" style="21" customWidth="1"/>
    <col min="8" max="8" width="15.54296875" style="4" bestFit="1" customWidth="1"/>
    <col min="9" max="9" width="11.81640625" bestFit="1" customWidth="1"/>
    <col min="10" max="10" width="13.54296875" bestFit="1" customWidth="1"/>
    <col min="11" max="11" width="14" bestFit="1" customWidth="1"/>
    <col min="12" max="12" width="11.90625" bestFit="1" customWidth="1"/>
    <col min="13" max="13" width="12.26953125" bestFit="1" customWidth="1"/>
    <col min="14" max="14" width="10.81640625" bestFit="1" customWidth="1"/>
    <col min="16" max="16" width="14.6328125" bestFit="1" customWidth="1"/>
    <col min="19" max="19" width="9.1796875" bestFit="1" customWidth="1"/>
  </cols>
  <sheetData>
    <row r="1" spans="1:15" ht="18" customHeight="1" x14ac:dyDescent="0.35">
      <c r="A1" s="5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192</v>
      </c>
      <c r="G1" s="5" t="s">
        <v>193</v>
      </c>
      <c r="H1" s="11" t="s">
        <v>194</v>
      </c>
      <c r="I1" s="23" t="s">
        <v>207</v>
      </c>
      <c r="J1" s="23" t="s">
        <v>208</v>
      </c>
      <c r="K1" s="23" t="s">
        <v>209</v>
      </c>
      <c r="L1" s="23" t="s">
        <v>211</v>
      </c>
      <c r="M1" s="23" t="s">
        <v>210</v>
      </c>
      <c r="N1" s="23" t="s">
        <v>11</v>
      </c>
      <c r="O1" s="23"/>
    </row>
    <row r="2" spans="1:15" ht="18" customHeight="1" x14ac:dyDescent="0.35">
      <c r="A2" s="6" t="s">
        <v>5</v>
      </c>
      <c r="B2" s="12" t="s">
        <v>201</v>
      </c>
      <c r="C2" s="12" t="s">
        <v>202</v>
      </c>
      <c r="D2" s="12" t="s">
        <v>203</v>
      </c>
      <c r="E2" s="12" t="s">
        <v>204</v>
      </c>
      <c r="F2" s="12" t="s">
        <v>205</v>
      </c>
      <c r="G2" s="6" t="s">
        <v>195</v>
      </c>
      <c r="H2" s="13">
        <v>43885</v>
      </c>
      <c r="I2">
        <f>(C2/B2)*100</f>
        <v>3.499434685492099</v>
      </c>
      <c r="J2">
        <f>(D2/B2)*100</f>
        <v>69.486804732096076</v>
      </c>
      <c r="K2">
        <f>(B2/F2)*100</f>
        <v>9.2959533622714516E-2</v>
      </c>
      <c r="L2" t="str" cm="1">
        <f t="array" ref="L2">_xlfn.IFS(I2&gt;5,"high risk",I2&lt;2,"low risk",AND(I2&lt;=5,I2&gt;=2),"moderate risk")</f>
        <v>moderate risk</v>
      </c>
      <c r="M2" cm="1">
        <f t="array" ref="M2">_xlfn.IFS(L2="low risk",1,L2="moderate risk",2,L2="high risk",3)</f>
        <v>2</v>
      </c>
      <c r="N2">
        <f>VLOOKUP(N1,$A:$M,6,0)</f>
        <v>45236884</v>
      </c>
    </row>
    <row r="3" spans="1:15" ht="18" customHeight="1" x14ac:dyDescent="0.35">
      <c r="A3" s="7" t="s">
        <v>6</v>
      </c>
      <c r="B3" s="14">
        <v>4880</v>
      </c>
      <c r="C3" s="14">
        <v>144</v>
      </c>
      <c r="D3" s="14">
        <v>2745</v>
      </c>
      <c r="E3" s="14">
        <v>1991</v>
      </c>
      <c r="F3" s="14">
        <v>2877470</v>
      </c>
      <c r="G3" s="7" t="s">
        <v>196</v>
      </c>
      <c r="H3" s="15">
        <v>43899</v>
      </c>
      <c r="I3">
        <f t="shared" ref="I3:I66" si="0">(C3/B3)*100</f>
        <v>2.9508196721311477</v>
      </c>
      <c r="J3">
        <f t="shared" ref="J3:J66" si="1">(D3/B3)*100</f>
        <v>56.25</v>
      </c>
      <c r="K3">
        <f t="shared" ref="K3:K66" si="2">(B3/F3)*100</f>
        <v>0.16959342755962703</v>
      </c>
      <c r="L3" t="str" cm="1">
        <f t="array" ref="L3">_xlfn.IFS(I3&gt;5,"high risk",I3&lt;2,"low risk",AND(I3&lt;=5,I3&gt;=2),"moderate risk")</f>
        <v>moderate risk</v>
      </c>
      <c r="M3" cm="1">
        <f t="array" ref="M3">_xlfn.IFS(L3="low risk",1,L3="moderate risk",2,L3="high risk",3)</f>
        <v>2</v>
      </c>
    </row>
    <row r="4" spans="1:15" ht="18" customHeight="1" x14ac:dyDescent="0.35">
      <c r="A4" s="6" t="s">
        <v>7</v>
      </c>
      <c r="B4" s="12">
        <v>27973</v>
      </c>
      <c r="C4" s="12">
        <v>1163</v>
      </c>
      <c r="D4" s="12">
        <v>18837</v>
      </c>
      <c r="E4" s="12">
        <v>7973</v>
      </c>
      <c r="F4" s="12">
        <v>43926079</v>
      </c>
      <c r="G4" s="6" t="s">
        <v>197</v>
      </c>
      <c r="H4" s="13">
        <v>43886</v>
      </c>
      <c r="I4">
        <f t="shared" si="0"/>
        <v>4.1575805240767885</v>
      </c>
      <c r="J4">
        <f t="shared" si="1"/>
        <v>67.339934937260921</v>
      </c>
      <c r="K4">
        <f t="shared" si="2"/>
        <v>6.3681987185790018E-2</v>
      </c>
      <c r="L4" t="str" cm="1">
        <f t="array" ref="L4">_xlfn.IFS(I4&gt;5,"high risk",I4&lt;2,"low risk",AND(I4&lt;=5,I4&gt;=2),"moderate risk")</f>
        <v>moderate risk</v>
      </c>
      <c r="M4" cm="1">
        <f t="array" ref="M4">_xlfn.IFS(L4="low risk",1,L4="moderate risk",2,L4="high risk",3)</f>
        <v>2</v>
      </c>
    </row>
    <row r="5" spans="1:15" ht="18" customHeight="1" x14ac:dyDescent="0.35">
      <c r="A5" s="7" t="s">
        <v>8</v>
      </c>
      <c r="B5" s="14">
        <v>907</v>
      </c>
      <c r="C5" s="14">
        <v>52</v>
      </c>
      <c r="D5" s="14">
        <v>803</v>
      </c>
      <c r="E5" s="14">
        <v>52</v>
      </c>
      <c r="F5" s="14">
        <v>77278</v>
      </c>
      <c r="G5" s="7" t="s">
        <v>196</v>
      </c>
      <c r="H5" s="15">
        <v>43892</v>
      </c>
      <c r="I5">
        <f t="shared" si="0"/>
        <v>5.7331863285556786</v>
      </c>
      <c r="J5">
        <f t="shared" si="1"/>
        <v>88.53362734288865</v>
      </c>
      <c r="K5">
        <f t="shared" si="2"/>
        <v>1.1736846191671626</v>
      </c>
      <c r="L5" t="str" cm="1">
        <f t="array" ref="L5">_xlfn.IFS(I5&gt;5,"high risk",I5&lt;2,"low risk",AND(I5&lt;=5,I5&gt;=2),"moderate risk")</f>
        <v>high risk</v>
      </c>
      <c r="M5" cm="1">
        <f t="array" ref="M5">_xlfn.IFS(L5="low risk",1,L5="moderate risk",2,L5="high risk",3)</f>
        <v>3</v>
      </c>
    </row>
    <row r="6" spans="1:15" ht="18" customHeight="1" x14ac:dyDescent="0.35">
      <c r="A6" s="6" t="s">
        <v>9</v>
      </c>
      <c r="B6" s="12">
        <v>950</v>
      </c>
      <c r="C6" s="12">
        <v>41</v>
      </c>
      <c r="D6" s="12">
        <v>242</v>
      </c>
      <c r="E6" s="12">
        <v>667</v>
      </c>
      <c r="F6" s="12">
        <v>32956300</v>
      </c>
      <c r="G6" s="6" t="s">
        <v>197</v>
      </c>
      <c r="H6" s="13">
        <v>43911</v>
      </c>
      <c r="I6">
        <f t="shared" si="0"/>
        <v>4.3157894736842106</v>
      </c>
      <c r="J6">
        <f t="shared" si="1"/>
        <v>25.473684210526315</v>
      </c>
      <c r="K6">
        <f t="shared" si="2"/>
        <v>2.8826051468156316E-3</v>
      </c>
      <c r="L6" t="str" cm="1">
        <f t="array" ref="L6">_xlfn.IFS(I6&gt;5,"high risk",I6&lt;2,"low risk",AND(I6&lt;=5,I6&gt;=2),"moderate risk")</f>
        <v>moderate risk</v>
      </c>
      <c r="M6" cm="1">
        <f t="array" ref="M6">_xlfn.IFS(L6="low risk",1,L6="moderate risk",2,L6="high risk",3)</f>
        <v>2</v>
      </c>
    </row>
    <row r="7" spans="1:15" ht="18" customHeight="1" x14ac:dyDescent="0.35">
      <c r="A7" s="7" t="s">
        <v>10</v>
      </c>
      <c r="B7" s="14">
        <v>86</v>
      </c>
      <c r="C7" s="14">
        <v>3</v>
      </c>
      <c r="D7" s="14">
        <v>65</v>
      </c>
      <c r="E7" s="14">
        <v>18</v>
      </c>
      <c r="F7" s="14">
        <v>98010</v>
      </c>
      <c r="G7" s="7" t="s">
        <v>198</v>
      </c>
      <c r="H7" s="15">
        <v>43903</v>
      </c>
      <c r="I7">
        <f t="shared" si="0"/>
        <v>3.4883720930232558</v>
      </c>
      <c r="J7">
        <f t="shared" si="1"/>
        <v>75.581395348837205</v>
      </c>
      <c r="K7">
        <f t="shared" si="2"/>
        <v>8.7746148352208966E-2</v>
      </c>
      <c r="L7" t="str" cm="1">
        <f t="array" ref="L7">_xlfn.IFS(I7&gt;5,"high risk",I7&lt;2,"low risk",AND(I7&lt;=5,I7&gt;=2),"moderate risk")</f>
        <v>moderate risk</v>
      </c>
      <c r="M7" cm="1">
        <f t="array" ref="M7">_xlfn.IFS(L7="low risk",1,L7="moderate risk",2,L7="high risk",3)</f>
        <v>2</v>
      </c>
    </row>
    <row r="8" spans="1:15" ht="18" customHeight="1" x14ac:dyDescent="0.35">
      <c r="A8" s="6" t="s">
        <v>11</v>
      </c>
      <c r="B8" s="12">
        <v>167416</v>
      </c>
      <c r="C8" s="12">
        <v>3059</v>
      </c>
      <c r="D8" s="12">
        <v>72575</v>
      </c>
      <c r="E8" s="12">
        <v>91782</v>
      </c>
      <c r="F8" s="12">
        <v>45236884</v>
      </c>
      <c r="G8" s="6" t="s">
        <v>199</v>
      </c>
      <c r="H8" s="13">
        <v>43893</v>
      </c>
      <c r="I8">
        <f t="shared" si="0"/>
        <v>1.827184976346347</v>
      </c>
      <c r="J8">
        <f t="shared" si="1"/>
        <v>43.350097959573759</v>
      </c>
      <c r="K8">
        <f t="shared" si="2"/>
        <v>0.37008738267649027</v>
      </c>
      <c r="L8" t="str" cm="1">
        <f t="array" ref="L8">_xlfn.IFS(I8&gt;5,"high risk",I8&lt;2,"low risk",AND(I8&lt;=5,I8&gt;=2),"moderate risk")</f>
        <v>low risk</v>
      </c>
      <c r="M8" cm="1">
        <f t="array" ref="M8">_xlfn.IFS(L8="low risk",1,L8="moderate risk",2,L8="high risk",3)</f>
        <v>1</v>
      </c>
    </row>
    <row r="9" spans="1:15" ht="18" customHeight="1" x14ac:dyDescent="0.35">
      <c r="A9" s="7" t="s">
        <v>12</v>
      </c>
      <c r="B9" s="14">
        <v>37390</v>
      </c>
      <c r="C9" s="14">
        <v>711</v>
      </c>
      <c r="D9" s="14">
        <v>26665</v>
      </c>
      <c r="E9" s="14">
        <v>10014</v>
      </c>
      <c r="F9" s="14">
        <v>2963811</v>
      </c>
      <c r="G9" s="7" t="s">
        <v>195</v>
      </c>
      <c r="H9" s="15">
        <v>43891</v>
      </c>
      <c r="I9">
        <f t="shared" si="0"/>
        <v>1.9015779620219311</v>
      </c>
      <c r="J9">
        <f t="shared" si="1"/>
        <v>71.315859855576363</v>
      </c>
      <c r="K9">
        <f t="shared" si="2"/>
        <v>1.261551428211853</v>
      </c>
      <c r="L9" t="str" cm="1">
        <f t="array" ref="L9">_xlfn.IFS(I9&gt;5,"high risk",I9&lt;2,"low risk",AND(I9&lt;=5,I9&gt;=2),"moderate risk")</f>
        <v>low risk</v>
      </c>
      <c r="M9" cm="1">
        <f t="array" ref="M9">_xlfn.IFS(L9="low risk",1,L9="moderate risk",2,L9="high risk",3)</f>
        <v>1</v>
      </c>
    </row>
    <row r="10" spans="1:15" ht="18" customHeight="1" x14ac:dyDescent="0.35">
      <c r="A10" s="6" t="s">
        <v>13</v>
      </c>
      <c r="B10" s="12">
        <v>15303</v>
      </c>
      <c r="C10" s="12">
        <v>167</v>
      </c>
      <c r="D10" s="12">
        <v>9311</v>
      </c>
      <c r="E10" s="12">
        <v>5825</v>
      </c>
      <c r="F10" s="12">
        <v>25528864</v>
      </c>
      <c r="G10" s="6" t="s">
        <v>200</v>
      </c>
      <c r="H10" s="13">
        <v>43855</v>
      </c>
      <c r="I10">
        <f t="shared" si="0"/>
        <v>1.0912892896817616</v>
      </c>
      <c r="J10">
        <f t="shared" si="1"/>
        <v>60.844278899562177</v>
      </c>
      <c r="K10">
        <f t="shared" si="2"/>
        <v>5.9943912897965218E-2</v>
      </c>
      <c r="L10" t="str" cm="1">
        <f t="array" ref="L10">_xlfn.IFS(I10&gt;5,"high risk",I10&lt;2,"low risk",AND(I10&lt;=5,I10&gt;=2),"moderate risk")</f>
        <v>low risk</v>
      </c>
      <c r="M10" cm="1">
        <f t="array" ref="M10">_xlfn.IFS(L10="low risk",1,L10="moderate risk",2,L10="high risk",3)</f>
        <v>1</v>
      </c>
    </row>
    <row r="11" spans="1:15" ht="18" customHeight="1" x14ac:dyDescent="0.35">
      <c r="A11" s="7" t="s">
        <v>14</v>
      </c>
      <c r="B11" s="14">
        <v>20558</v>
      </c>
      <c r="C11" s="14">
        <v>713</v>
      </c>
      <c r="D11" s="14">
        <v>18246</v>
      </c>
      <c r="E11" s="14">
        <v>1599</v>
      </c>
      <c r="F11" s="14">
        <v>9011577</v>
      </c>
      <c r="G11" s="7" t="s">
        <v>196</v>
      </c>
      <c r="H11" s="15">
        <v>43886</v>
      </c>
      <c r="I11">
        <f t="shared" si="0"/>
        <v>3.4682362097480302</v>
      </c>
      <c r="J11">
        <f t="shared" si="1"/>
        <v>88.753769821967126</v>
      </c>
      <c r="K11">
        <f t="shared" si="2"/>
        <v>0.22812877257776301</v>
      </c>
      <c r="L11" t="str" cm="1">
        <f t="array" ref="L11">_xlfn.IFS(I11&gt;5,"high risk",I11&lt;2,"low risk",AND(I11&lt;=5,I11&gt;=2),"moderate risk")</f>
        <v>moderate risk</v>
      </c>
      <c r="M11" cm="1">
        <f t="array" ref="M11">_xlfn.IFS(L11="low risk",1,L11="moderate risk",2,L11="high risk",3)</f>
        <v>2</v>
      </c>
    </row>
    <row r="12" spans="1:15" ht="18" customHeight="1" x14ac:dyDescent="0.35">
      <c r="A12" s="6" t="s">
        <v>15</v>
      </c>
      <c r="B12" s="12">
        <v>30446</v>
      </c>
      <c r="C12" s="12">
        <v>423</v>
      </c>
      <c r="D12" s="12">
        <v>23242</v>
      </c>
      <c r="E12" s="12">
        <v>6781</v>
      </c>
      <c r="F12" s="12">
        <v>10148243</v>
      </c>
      <c r="G12" s="6" t="s">
        <v>195</v>
      </c>
      <c r="H12" s="13">
        <v>43889</v>
      </c>
      <c r="I12">
        <f t="shared" si="0"/>
        <v>1.389345069959929</v>
      </c>
      <c r="J12">
        <f t="shared" si="1"/>
        <v>76.338435262431844</v>
      </c>
      <c r="K12">
        <f t="shared" si="2"/>
        <v>0.30001252433549336</v>
      </c>
      <c r="L12" t="str" cm="1">
        <f t="array" ref="L12">_xlfn.IFS(I12&gt;5,"high risk",I12&lt;2,"low risk",AND(I12&lt;=5,I12&gt;=2),"moderate risk")</f>
        <v>low risk</v>
      </c>
      <c r="M12" cm="1">
        <f t="array" ref="M12">_xlfn.IFS(L12="low risk",1,L12="moderate risk",2,L12="high risk",3)</f>
        <v>1</v>
      </c>
    </row>
    <row r="13" spans="1:15" ht="18" customHeight="1" x14ac:dyDescent="0.35">
      <c r="A13" s="7" t="s">
        <v>16</v>
      </c>
      <c r="B13" s="14">
        <v>382</v>
      </c>
      <c r="C13" s="14">
        <v>11</v>
      </c>
      <c r="D13" s="14">
        <v>91</v>
      </c>
      <c r="E13" s="14">
        <v>280</v>
      </c>
      <c r="F13" s="14">
        <v>393616</v>
      </c>
      <c r="G13" s="7" t="s">
        <v>198</v>
      </c>
      <c r="H13" s="15">
        <v>43905</v>
      </c>
      <c r="I13">
        <f t="shared" si="0"/>
        <v>2.8795811518324608</v>
      </c>
      <c r="J13">
        <f t="shared" si="1"/>
        <v>23.821989528795811</v>
      </c>
      <c r="K13">
        <f t="shared" si="2"/>
        <v>9.7048900451201167E-2</v>
      </c>
      <c r="L13" t="str" cm="1">
        <f t="array" ref="L13">_xlfn.IFS(I13&gt;5,"high risk",I13&lt;2,"low risk",AND(I13&lt;=5,I13&gt;=2),"moderate risk")</f>
        <v>moderate risk</v>
      </c>
      <c r="M13" cm="1">
        <f t="array" ref="M13">_xlfn.IFS(L13="low risk",1,L13="moderate risk",2,L13="high risk",3)</f>
        <v>2</v>
      </c>
    </row>
    <row r="14" spans="1:15" ht="18" customHeight="1" x14ac:dyDescent="0.35">
      <c r="A14" s="6" t="s">
        <v>17</v>
      </c>
      <c r="B14" s="12">
        <v>39482</v>
      </c>
      <c r="C14" s="12">
        <v>141</v>
      </c>
      <c r="D14" s="12">
        <v>36110</v>
      </c>
      <c r="E14" s="12">
        <v>3231</v>
      </c>
      <c r="F14" s="12">
        <v>1706669</v>
      </c>
      <c r="G14" s="6" t="s">
        <v>195</v>
      </c>
      <c r="H14" s="13">
        <v>43882</v>
      </c>
      <c r="I14">
        <f t="shared" si="0"/>
        <v>0.35712476571602247</v>
      </c>
      <c r="J14">
        <f t="shared" si="1"/>
        <v>91.459399219897676</v>
      </c>
      <c r="K14">
        <f t="shared" si="2"/>
        <v>2.3133952746548978</v>
      </c>
      <c r="L14" t="str" cm="1">
        <f t="array" ref="L14">_xlfn.IFS(I14&gt;5,"high risk",I14&lt;2,"low risk",AND(I14&lt;=5,I14&gt;=2),"moderate risk")</f>
        <v>low risk</v>
      </c>
      <c r="M14" cm="1">
        <f t="array" ref="M14">_xlfn.IFS(L14="low risk",1,L14="moderate risk",2,L14="high risk",3)</f>
        <v>1</v>
      </c>
    </row>
    <row r="15" spans="1:15" ht="18" customHeight="1" x14ac:dyDescent="0.35">
      <c r="A15" s="7" t="s">
        <v>18</v>
      </c>
      <c r="B15" s="14">
        <v>226225</v>
      </c>
      <c r="C15" s="14">
        <v>2965</v>
      </c>
      <c r="D15" s="14">
        <v>125683</v>
      </c>
      <c r="E15" s="14">
        <v>97577</v>
      </c>
      <c r="F15" s="14">
        <v>164851401</v>
      </c>
      <c r="G15" s="7" t="s">
        <v>195</v>
      </c>
      <c r="H15" s="15">
        <v>43898</v>
      </c>
      <c r="I15">
        <f t="shared" si="0"/>
        <v>1.310642059896121</v>
      </c>
      <c r="J15">
        <f t="shared" si="1"/>
        <v>55.556636092385901</v>
      </c>
      <c r="K15">
        <f t="shared" si="2"/>
        <v>0.13722964962851603</v>
      </c>
      <c r="L15" t="str" cm="1">
        <f t="array" ref="L15">_xlfn.IFS(I15&gt;5,"high risk",I15&lt;2,"low risk",AND(I15&lt;=5,I15&gt;=2),"moderate risk")</f>
        <v>low risk</v>
      </c>
      <c r="M15" cm="1">
        <f t="array" ref="M15">_xlfn.IFS(L15="low risk",1,L15="moderate risk",2,L15="high risk",3)</f>
        <v>1</v>
      </c>
    </row>
    <row r="16" spans="1:15" ht="18" customHeight="1" x14ac:dyDescent="0.35">
      <c r="A16" s="6" t="s">
        <v>19</v>
      </c>
      <c r="B16" s="12">
        <v>110</v>
      </c>
      <c r="C16" s="12">
        <v>7</v>
      </c>
      <c r="D16" s="12">
        <v>94</v>
      </c>
      <c r="E16" s="12">
        <v>9</v>
      </c>
      <c r="F16" s="12">
        <v>287411</v>
      </c>
      <c r="G16" s="6" t="s">
        <v>198</v>
      </c>
      <c r="H16" s="13">
        <v>43907</v>
      </c>
      <c r="I16">
        <f t="shared" si="0"/>
        <v>6.3636363636363633</v>
      </c>
      <c r="J16">
        <f t="shared" si="1"/>
        <v>85.454545454545453</v>
      </c>
      <c r="K16">
        <f t="shared" si="2"/>
        <v>3.8272717467320319E-2</v>
      </c>
      <c r="L16" t="str" cm="1">
        <f t="array" ref="L16">_xlfn.IFS(I16&gt;5,"high risk",I16&lt;2,"low risk",AND(I16&lt;=5,I16&gt;=2),"moderate risk")</f>
        <v>high risk</v>
      </c>
      <c r="M16" cm="1">
        <f t="array" ref="M16">_xlfn.IFS(L16="low risk",1,L16="moderate risk",2,L16="high risk",3)</f>
        <v>3</v>
      </c>
    </row>
    <row r="17" spans="1:13" ht="18" customHeight="1" x14ac:dyDescent="0.35">
      <c r="A17" s="7" t="s">
        <v>20</v>
      </c>
      <c r="B17" s="14">
        <v>67251</v>
      </c>
      <c r="C17" s="14">
        <v>538</v>
      </c>
      <c r="D17" s="14">
        <v>60492</v>
      </c>
      <c r="E17" s="14">
        <v>6221</v>
      </c>
      <c r="F17" s="14">
        <v>9449001</v>
      </c>
      <c r="G17" s="7" t="s">
        <v>196</v>
      </c>
      <c r="H17" s="15">
        <v>43889</v>
      </c>
      <c r="I17">
        <f t="shared" si="0"/>
        <v>0.79998810426610767</v>
      </c>
      <c r="J17">
        <f t="shared" si="1"/>
        <v>89.949591827630812</v>
      </c>
      <c r="K17">
        <f t="shared" si="2"/>
        <v>0.71172603326002404</v>
      </c>
      <c r="L17" t="str" cm="1">
        <f t="array" ref="L17">_xlfn.IFS(I17&gt;5,"high risk",I17&lt;2,"low risk",AND(I17&lt;=5,I17&gt;=2),"moderate risk")</f>
        <v>low risk</v>
      </c>
      <c r="M17" cm="1">
        <f t="array" ref="M17">_xlfn.IFS(L17="low risk",1,L17="moderate risk",2,L17="high risk",3)</f>
        <v>1</v>
      </c>
    </row>
    <row r="18" spans="1:13" ht="18" customHeight="1" x14ac:dyDescent="0.35">
      <c r="A18" s="6" t="s">
        <v>21</v>
      </c>
      <c r="B18" s="12">
        <v>66428</v>
      </c>
      <c r="C18" s="12">
        <v>9822</v>
      </c>
      <c r="D18" s="12">
        <v>17452</v>
      </c>
      <c r="E18" s="12">
        <v>39154</v>
      </c>
      <c r="F18" s="12">
        <v>11594739</v>
      </c>
      <c r="G18" s="6" t="s">
        <v>196</v>
      </c>
      <c r="H18" s="13">
        <v>43865</v>
      </c>
      <c r="I18">
        <f t="shared" si="0"/>
        <v>14.785933642439936</v>
      </c>
      <c r="J18">
        <f t="shared" si="1"/>
        <v>26.272053953152287</v>
      </c>
      <c r="K18">
        <f t="shared" si="2"/>
        <v>0.57291500912612181</v>
      </c>
      <c r="L18" t="str" cm="1">
        <f t="array" ref="L18">_xlfn.IFS(I18&gt;5,"high risk",I18&lt;2,"low risk",AND(I18&lt;=5,I18&gt;=2),"moderate risk")</f>
        <v>high risk</v>
      </c>
      <c r="M18" cm="1">
        <f t="array" ref="M18">_xlfn.IFS(L18="low risk",1,L18="moderate risk",2,L18="high risk",3)</f>
        <v>3</v>
      </c>
    </row>
    <row r="19" spans="1:13" ht="18" customHeight="1" x14ac:dyDescent="0.35">
      <c r="A19" s="7" t="s">
        <v>22</v>
      </c>
      <c r="B19" s="14">
        <v>48</v>
      </c>
      <c r="C19" s="14">
        <v>2</v>
      </c>
      <c r="D19" s="14">
        <v>26</v>
      </c>
      <c r="E19" s="14">
        <v>20</v>
      </c>
      <c r="F19" s="14">
        <v>398312</v>
      </c>
      <c r="G19" s="7" t="s">
        <v>198</v>
      </c>
      <c r="H19" s="15">
        <v>43913</v>
      </c>
      <c r="I19">
        <f t="shared" si="0"/>
        <v>4.1666666666666661</v>
      </c>
      <c r="J19">
        <f t="shared" si="1"/>
        <v>54.166666666666664</v>
      </c>
      <c r="K19">
        <f t="shared" si="2"/>
        <v>1.2050854606439173E-2</v>
      </c>
      <c r="L19" t="str" cm="1">
        <f t="array" ref="L19">_xlfn.IFS(I19&gt;5,"high risk",I19&lt;2,"low risk",AND(I19&lt;=5,I19&gt;=2),"moderate risk")</f>
        <v>moderate risk</v>
      </c>
      <c r="M19" cm="1">
        <f t="array" ref="M19">_xlfn.IFS(L19="low risk",1,L19="moderate risk",2,L19="high risk",3)</f>
        <v>2</v>
      </c>
    </row>
    <row r="20" spans="1:13" ht="18" customHeight="1" x14ac:dyDescent="0.35">
      <c r="A20" s="6" t="s">
        <v>23</v>
      </c>
      <c r="B20" s="12">
        <v>1770</v>
      </c>
      <c r="C20" s="12">
        <v>35</v>
      </c>
      <c r="D20" s="12">
        <v>1036</v>
      </c>
      <c r="E20" s="12">
        <v>699</v>
      </c>
      <c r="F20" s="12">
        <v>12151976</v>
      </c>
      <c r="G20" s="6" t="s">
        <v>197</v>
      </c>
      <c r="H20" s="13">
        <v>43906</v>
      </c>
      <c r="I20">
        <f t="shared" si="0"/>
        <v>1.977401129943503</v>
      </c>
      <c r="J20">
        <f t="shared" si="1"/>
        <v>58.531073446327689</v>
      </c>
      <c r="K20">
        <f t="shared" si="2"/>
        <v>1.4565532387489902E-2</v>
      </c>
      <c r="L20" t="str" cm="1">
        <f t="array" ref="L20">_xlfn.IFS(I20&gt;5,"high risk",I20&lt;2,"low risk",AND(I20&lt;=5,I20&gt;=2),"moderate risk")</f>
        <v>low risk</v>
      </c>
      <c r="M20" cm="1">
        <f t="array" ref="M20">_xlfn.IFS(L20="low risk",1,L20="moderate risk",2,L20="high risk",3)</f>
        <v>1</v>
      </c>
    </row>
    <row r="21" spans="1:13" ht="18" customHeight="1" x14ac:dyDescent="0.35">
      <c r="A21" s="7" t="s">
        <v>24</v>
      </c>
      <c r="B21" s="14">
        <v>99</v>
      </c>
      <c r="C21" s="14">
        <v>0</v>
      </c>
      <c r="D21" s="14">
        <v>86</v>
      </c>
      <c r="E21" s="14">
        <v>13</v>
      </c>
      <c r="F21" s="14">
        <v>772443</v>
      </c>
      <c r="G21" s="7" t="s">
        <v>195</v>
      </c>
      <c r="H21" s="15">
        <v>43896</v>
      </c>
      <c r="I21">
        <f t="shared" si="0"/>
        <v>0</v>
      </c>
      <c r="J21">
        <f t="shared" si="1"/>
        <v>86.868686868686879</v>
      </c>
      <c r="K21">
        <f t="shared" si="2"/>
        <v>1.2816479662577046E-2</v>
      </c>
      <c r="L21" t="str" cm="1">
        <f t="array" ref="L21">_xlfn.IFS(I21&gt;5,"high risk",I21&lt;2,"low risk",AND(I21&lt;=5,I21&gt;=2),"moderate risk")</f>
        <v>low risk</v>
      </c>
      <c r="M21" cm="1">
        <f t="array" ref="M21">_xlfn.IFS(L21="low risk",1,L21="moderate risk",2,L21="high risk",3)</f>
        <v>1</v>
      </c>
    </row>
    <row r="22" spans="1:13" ht="18" customHeight="1" x14ac:dyDescent="0.35">
      <c r="A22" s="6" t="s">
        <v>25</v>
      </c>
      <c r="B22" s="12">
        <v>71181</v>
      </c>
      <c r="C22" s="12">
        <v>2647</v>
      </c>
      <c r="D22" s="12">
        <v>21478</v>
      </c>
      <c r="E22" s="12">
        <v>47056</v>
      </c>
      <c r="F22" s="12">
        <v>11688459</v>
      </c>
      <c r="G22" s="6" t="s">
        <v>199</v>
      </c>
      <c r="H22" s="13">
        <v>43900</v>
      </c>
      <c r="I22">
        <f t="shared" si="0"/>
        <v>3.718688975990784</v>
      </c>
      <c r="J22">
        <f t="shared" si="1"/>
        <v>30.173782329554232</v>
      </c>
      <c r="K22">
        <f t="shared" si="2"/>
        <v>0.60898532475495704</v>
      </c>
      <c r="L22" t="str" cm="1">
        <f t="array" ref="L22">_xlfn.IFS(I22&gt;5,"high risk",I22&lt;2,"low risk",AND(I22&lt;=5,I22&gt;=2),"moderate risk")</f>
        <v>moderate risk</v>
      </c>
      <c r="M22" cm="1">
        <f t="array" ref="M22">_xlfn.IFS(L22="low risk",1,L22="moderate risk",2,L22="high risk",3)</f>
        <v>2</v>
      </c>
    </row>
    <row r="23" spans="1:13" ht="18" customHeight="1" x14ac:dyDescent="0.35">
      <c r="A23" s="7" t="s">
        <v>26</v>
      </c>
      <c r="B23" s="14">
        <v>10498</v>
      </c>
      <c r="C23" s="14">
        <v>294</v>
      </c>
      <c r="D23" s="14">
        <v>4930</v>
      </c>
      <c r="E23" s="14">
        <v>5274</v>
      </c>
      <c r="F23" s="14">
        <v>3278650</v>
      </c>
      <c r="G23" s="7" t="s">
        <v>196</v>
      </c>
      <c r="H23" s="15">
        <v>43895</v>
      </c>
      <c r="I23">
        <f t="shared" si="0"/>
        <v>2.8005334349399886</v>
      </c>
      <c r="J23">
        <f t="shared" si="1"/>
        <v>46.961325966850829</v>
      </c>
      <c r="K23">
        <f t="shared" si="2"/>
        <v>0.32019276226495663</v>
      </c>
      <c r="L23" t="str" cm="1">
        <f t="array" ref="L23">_xlfn.IFS(I23&gt;5,"high risk",I23&lt;2,"low risk",AND(I23&lt;=5,I23&gt;=2),"moderate risk")</f>
        <v>moderate risk</v>
      </c>
      <c r="M23" cm="1">
        <f t="array" ref="M23">_xlfn.IFS(L23="low risk",1,L23="moderate risk",2,L23="high risk",3)</f>
        <v>2</v>
      </c>
    </row>
    <row r="24" spans="1:13" ht="18" customHeight="1" x14ac:dyDescent="0.35">
      <c r="A24" s="6" t="s">
        <v>27</v>
      </c>
      <c r="B24" s="12">
        <v>739</v>
      </c>
      <c r="C24" s="12">
        <v>2</v>
      </c>
      <c r="D24" s="12">
        <v>63</v>
      </c>
      <c r="E24" s="12">
        <v>674</v>
      </c>
      <c r="F24" s="12">
        <v>2356075</v>
      </c>
      <c r="G24" s="6" t="s">
        <v>197</v>
      </c>
      <c r="H24" s="13">
        <v>43920</v>
      </c>
      <c r="I24">
        <f t="shared" si="0"/>
        <v>0.2706359945872801</v>
      </c>
      <c r="J24">
        <f t="shared" si="1"/>
        <v>8.5250338294993231</v>
      </c>
      <c r="K24">
        <f t="shared" si="2"/>
        <v>3.1365724775314879E-2</v>
      </c>
      <c r="L24" t="str" cm="1">
        <f t="array" ref="L24">_xlfn.IFS(I24&gt;5,"high risk",I24&lt;2,"low risk",AND(I24&lt;=5,I24&gt;=2),"moderate risk")</f>
        <v>low risk</v>
      </c>
      <c r="M24" cm="1">
        <f t="array" ref="M24">_xlfn.IFS(L24="low risk",1,L24="moderate risk",2,L24="high risk",3)</f>
        <v>1</v>
      </c>
    </row>
    <row r="25" spans="1:13" ht="18" customHeight="1" x14ac:dyDescent="0.35">
      <c r="A25" s="7" t="s">
        <v>28</v>
      </c>
      <c r="B25" s="14">
        <v>2442375</v>
      </c>
      <c r="C25" s="14">
        <v>87618</v>
      </c>
      <c r="D25" s="14">
        <v>1846641</v>
      </c>
      <c r="E25" s="14">
        <v>508116</v>
      </c>
      <c r="F25" s="14">
        <v>212710692</v>
      </c>
      <c r="G25" s="7" t="s">
        <v>199</v>
      </c>
      <c r="H25" s="15">
        <v>43887</v>
      </c>
      <c r="I25">
        <f t="shared" si="0"/>
        <v>3.5874097957930293</v>
      </c>
      <c r="J25">
        <f t="shared" si="1"/>
        <v>75.608413941348076</v>
      </c>
      <c r="K25">
        <f t="shared" si="2"/>
        <v>1.1482144959596108</v>
      </c>
      <c r="L25" t="str" cm="1">
        <f t="array" ref="L25">_xlfn.IFS(I25&gt;5,"high risk",I25&lt;2,"low risk",AND(I25&lt;=5,I25&gt;=2),"moderate risk")</f>
        <v>moderate risk</v>
      </c>
      <c r="M25" cm="1">
        <f t="array" ref="M25">_xlfn.IFS(L25="low risk",1,L25="moderate risk",2,L25="high risk",3)</f>
        <v>2</v>
      </c>
    </row>
    <row r="26" spans="1:13" ht="18" customHeight="1" x14ac:dyDescent="0.35">
      <c r="A26" s="6" t="s">
        <v>29</v>
      </c>
      <c r="B26" s="12">
        <v>141</v>
      </c>
      <c r="C26" s="12">
        <v>3</v>
      </c>
      <c r="D26" s="12">
        <v>138</v>
      </c>
      <c r="E26" s="12">
        <v>0</v>
      </c>
      <c r="F26" s="12">
        <v>437893</v>
      </c>
      <c r="G26" s="6" t="s">
        <v>195</v>
      </c>
      <c r="H26" s="13">
        <v>43899</v>
      </c>
      <c r="I26">
        <f t="shared" si="0"/>
        <v>2.1276595744680851</v>
      </c>
      <c r="J26">
        <f t="shared" si="1"/>
        <v>97.872340425531917</v>
      </c>
      <c r="K26">
        <f t="shared" si="2"/>
        <v>3.2199646945715046E-2</v>
      </c>
      <c r="L26" t="str" cm="1">
        <f t="array" ref="L26">_xlfn.IFS(I26&gt;5,"high risk",I26&lt;2,"low risk",AND(I26&lt;=5,I26&gt;=2),"moderate risk")</f>
        <v>moderate risk</v>
      </c>
      <c r="M26" cm="1">
        <f t="array" ref="M26">_xlfn.IFS(L26="low risk",1,L26="moderate risk",2,L26="high risk",3)</f>
        <v>2</v>
      </c>
    </row>
    <row r="27" spans="1:13" ht="18" customHeight="1" x14ac:dyDescent="0.35">
      <c r="A27" s="7" t="s">
        <v>30</v>
      </c>
      <c r="B27" s="14">
        <v>10621</v>
      </c>
      <c r="C27" s="14">
        <v>347</v>
      </c>
      <c r="D27" s="14">
        <v>5585</v>
      </c>
      <c r="E27" s="14">
        <v>4689</v>
      </c>
      <c r="F27" s="14">
        <v>6942854</v>
      </c>
      <c r="G27" s="7" t="s">
        <v>196</v>
      </c>
      <c r="H27" s="15">
        <v>43898</v>
      </c>
      <c r="I27">
        <f t="shared" si="0"/>
        <v>3.2671123246398639</v>
      </c>
      <c r="J27">
        <f t="shared" si="1"/>
        <v>52.584502400903865</v>
      </c>
      <c r="K27">
        <f t="shared" si="2"/>
        <v>0.15297743550418891</v>
      </c>
      <c r="L27" t="str" cm="1">
        <f t="array" ref="L27">_xlfn.IFS(I27&gt;5,"high risk",I27&lt;2,"low risk",AND(I27&lt;=5,I27&gt;=2),"moderate risk")</f>
        <v>moderate risk</v>
      </c>
      <c r="M27" cm="1">
        <f t="array" ref="M27">_xlfn.IFS(L27="low risk",1,L27="moderate risk",2,L27="high risk",3)</f>
        <v>2</v>
      </c>
    </row>
    <row r="28" spans="1:13" ht="18" customHeight="1" x14ac:dyDescent="0.35">
      <c r="A28" s="6" t="s">
        <v>31</v>
      </c>
      <c r="B28" s="12">
        <v>1100</v>
      </c>
      <c r="C28" s="12">
        <v>53</v>
      </c>
      <c r="D28" s="12">
        <v>926</v>
      </c>
      <c r="E28" s="12">
        <v>121</v>
      </c>
      <c r="F28" s="12">
        <v>20954852</v>
      </c>
      <c r="G28" s="6" t="s">
        <v>197</v>
      </c>
      <c r="H28" s="13">
        <v>43899</v>
      </c>
      <c r="I28">
        <f t="shared" si="0"/>
        <v>4.8181818181818183</v>
      </c>
      <c r="J28">
        <f t="shared" si="1"/>
        <v>84.181818181818187</v>
      </c>
      <c r="K28">
        <f t="shared" si="2"/>
        <v>5.2493809071044737E-3</v>
      </c>
      <c r="L28" t="str" cm="1">
        <f t="array" ref="L28">_xlfn.IFS(I28&gt;5,"high risk",I28&lt;2,"low risk",AND(I28&lt;=5,I28&gt;=2),"moderate risk")</f>
        <v>moderate risk</v>
      </c>
      <c r="M28" cm="1">
        <f t="array" ref="M28">_xlfn.IFS(L28="low risk",1,L28="moderate risk",2,L28="high risk",3)</f>
        <v>2</v>
      </c>
    </row>
    <row r="29" spans="1:13" ht="18" customHeight="1" x14ac:dyDescent="0.35">
      <c r="A29" s="7" t="s">
        <v>191</v>
      </c>
      <c r="B29" s="14">
        <v>350</v>
      </c>
      <c r="C29" s="14">
        <v>6</v>
      </c>
      <c r="D29" s="14">
        <v>292</v>
      </c>
      <c r="E29" s="14">
        <v>52</v>
      </c>
      <c r="F29" s="14">
        <v>54446389</v>
      </c>
      <c r="G29" s="7" t="s">
        <v>195</v>
      </c>
      <c r="H29" s="15">
        <v>43913</v>
      </c>
      <c r="I29">
        <f t="shared" si="0"/>
        <v>1.7142857142857144</v>
      </c>
      <c r="J29">
        <f t="shared" si="1"/>
        <v>83.428571428571431</v>
      </c>
      <c r="K29">
        <f t="shared" si="2"/>
        <v>6.4283418318155131E-4</v>
      </c>
      <c r="L29" t="str" cm="1">
        <f t="array" ref="L29">_xlfn.IFS(I29&gt;5,"high risk",I29&lt;2,"low risk",AND(I29&lt;=5,I29&gt;=2),"moderate risk")</f>
        <v>low risk</v>
      </c>
      <c r="M29" cm="1">
        <f t="array" ref="M29">_xlfn.IFS(L29="low risk",1,L29="moderate risk",2,L29="high risk",3)</f>
        <v>1</v>
      </c>
    </row>
    <row r="30" spans="1:13" ht="18" customHeight="1" x14ac:dyDescent="0.35">
      <c r="A30" s="6" t="s">
        <v>32</v>
      </c>
      <c r="B30" s="12">
        <v>378</v>
      </c>
      <c r="C30" s="12">
        <v>1</v>
      </c>
      <c r="D30" s="12">
        <v>301</v>
      </c>
      <c r="E30" s="12">
        <v>76</v>
      </c>
      <c r="F30" s="12">
        <v>11922216</v>
      </c>
      <c r="G30" s="6" t="s">
        <v>197</v>
      </c>
      <c r="H30" s="13">
        <v>43921</v>
      </c>
      <c r="I30">
        <f t="shared" si="0"/>
        <v>0.26455026455026454</v>
      </c>
      <c r="J30">
        <f t="shared" si="1"/>
        <v>79.629629629629633</v>
      </c>
      <c r="K30">
        <f t="shared" si="2"/>
        <v>3.1705515149197091E-3</v>
      </c>
      <c r="L30" t="str" cm="1">
        <f t="array" ref="L30">_xlfn.IFS(I30&gt;5,"high risk",I30&lt;2,"low risk",AND(I30&lt;=5,I30&gt;=2),"moderate risk")</f>
        <v>low risk</v>
      </c>
      <c r="M30" cm="1">
        <f t="array" ref="M30">_xlfn.IFS(L30="low risk",1,L30="moderate risk",2,L30="high risk",3)</f>
        <v>1</v>
      </c>
    </row>
    <row r="31" spans="1:13" ht="18" customHeight="1" x14ac:dyDescent="0.35">
      <c r="A31" s="7" t="s">
        <v>33</v>
      </c>
      <c r="B31" s="14">
        <v>2328</v>
      </c>
      <c r="C31" s="14">
        <v>22</v>
      </c>
      <c r="D31" s="14">
        <v>1550</v>
      </c>
      <c r="E31" s="14">
        <v>756</v>
      </c>
      <c r="F31" s="14">
        <v>556581</v>
      </c>
      <c r="G31" s="7" t="s">
        <v>197</v>
      </c>
      <c r="H31" s="15">
        <v>43910</v>
      </c>
      <c r="I31">
        <f t="shared" si="0"/>
        <v>0.94501718213058417</v>
      </c>
      <c r="J31">
        <f t="shared" si="1"/>
        <v>66.580756013745699</v>
      </c>
      <c r="K31">
        <f t="shared" si="2"/>
        <v>0.41826796099759067</v>
      </c>
      <c r="L31" t="str" cm="1">
        <f t="array" ref="L31">_xlfn.IFS(I31&gt;5,"high risk",I31&lt;2,"low risk",AND(I31&lt;=5,I31&gt;=2),"moderate risk")</f>
        <v>low risk</v>
      </c>
      <c r="M31" cm="1">
        <f t="array" ref="M31">_xlfn.IFS(L31="low risk",1,L31="moderate risk",2,L31="high risk",3)</f>
        <v>1</v>
      </c>
    </row>
    <row r="32" spans="1:13" ht="18" customHeight="1" x14ac:dyDescent="0.35">
      <c r="A32" s="6" t="s">
        <v>34</v>
      </c>
      <c r="B32" s="12">
        <v>226</v>
      </c>
      <c r="C32" s="12">
        <v>0</v>
      </c>
      <c r="D32" s="12">
        <v>147</v>
      </c>
      <c r="E32" s="12">
        <v>79</v>
      </c>
      <c r="F32" s="12">
        <v>16741375</v>
      </c>
      <c r="G32" s="6" t="s">
        <v>195</v>
      </c>
      <c r="H32" s="13">
        <v>43857</v>
      </c>
      <c r="I32">
        <f t="shared" si="0"/>
        <v>0</v>
      </c>
      <c r="J32">
        <f t="shared" si="1"/>
        <v>65.044247787610615</v>
      </c>
      <c r="K32">
        <f t="shared" si="2"/>
        <v>1.349948854260776E-3</v>
      </c>
      <c r="L32" t="str" cm="1">
        <f t="array" ref="L32">_xlfn.IFS(I32&gt;5,"high risk",I32&lt;2,"low risk",AND(I32&lt;=5,I32&gt;=2),"moderate risk")</f>
        <v>low risk</v>
      </c>
      <c r="M32" cm="1">
        <f t="array" ref="M32">_xlfn.IFS(L32="low risk",1,L32="moderate risk",2,L32="high risk",3)</f>
        <v>1</v>
      </c>
    </row>
    <row r="33" spans="1:13" ht="18" customHeight="1" x14ac:dyDescent="0.35">
      <c r="A33" s="7" t="s">
        <v>35</v>
      </c>
      <c r="B33" s="14">
        <v>17110</v>
      </c>
      <c r="C33" s="14">
        <v>391</v>
      </c>
      <c r="D33" s="14">
        <v>14539</v>
      </c>
      <c r="E33" s="14">
        <v>2180</v>
      </c>
      <c r="F33" s="14">
        <v>26606188</v>
      </c>
      <c r="G33" s="7" t="s">
        <v>197</v>
      </c>
      <c r="H33" s="15">
        <v>43896</v>
      </c>
      <c r="I33">
        <f t="shared" si="0"/>
        <v>2.2852133255406195</v>
      </c>
      <c r="J33">
        <f t="shared" si="1"/>
        <v>84.973699590882518</v>
      </c>
      <c r="K33">
        <f t="shared" si="2"/>
        <v>6.4308348118114478E-2</v>
      </c>
      <c r="L33" t="str" cm="1">
        <f t="array" ref="L33">_xlfn.IFS(I33&gt;5,"high risk",I33&lt;2,"low risk",AND(I33&lt;=5,I33&gt;=2),"moderate risk")</f>
        <v>moderate risk</v>
      </c>
      <c r="M33" cm="1">
        <f t="array" ref="M33">_xlfn.IFS(L33="low risk",1,L33="moderate risk",2,L33="high risk",3)</f>
        <v>2</v>
      </c>
    </row>
    <row r="34" spans="1:13" ht="18" customHeight="1" x14ac:dyDescent="0.35">
      <c r="A34" s="6" t="s">
        <v>36</v>
      </c>
      <c r="B34" s="12">
        <v>116458</v>
      </c>
      <c r="C34" s="12">
        <v>8944</v>
      </c>
      <c r="D34" s="12">
        <v>0</v>
      </c>
      <c r="E34" s="12">
        <v>107514</v>
      </c>
      <c r="F34" s="12">
        <v>37775022</v>
      </c>
      <c r="G34" s="6" t="s">
        <v>198</v>
      </c>
      <c r="H34" s="13">
        <v>43855</v>
      </c>
      <c r="I34">
        <f t="shared" si="0"/>
        <v>7.6800219821738303</v>
      </c>
      <c r="J34">
        <f t="shared" si="1"/>
        <v>0</v>
      </c>
      <c r="K34">
        <f t="shared" si="2"/>
        <v>0.3082936655867467</v>
      </c>
      <c r="L34" t="str" cm="1">
        <f t="array" ref="L34">_xlfn.IFS(I34&gt;5,"high risk",I34&lt;2,"low risk",AND(I34&lt;=5,I34&gt;=2),"moderate risk")</f>
        <v>high risk</v>
      </c>
      <c r="M34" cm="1">
        <f t="array" ref="M34">_xlfn.IFS(L34="low risk",1,L34="moderate risk",2,L34="high risk",3)</f>
        <v>3</v>
      </c>
    </row>
    <row r="35" spans="1:13" ht="18" customHeight="1" x14ac:dyDescent="0.35">
      <c r="A35" s="7" t="s">
        <v>37</v>
      </c>
      <c r="B35" s="14">
        <v>4599</v>
      </c>
      <c r="C35" s="14">
        <v>59</v>
      </c>
      <c r="D35" s="14">
        <v>1546</v>
      </c>
      <c r="E35" s="14">
        <v>2994</v>
      </c>
      <c r="F35" s="14">
        <v>4837752</v>
      </c>
      <c r="G35" s="7" t="s">
        <v>197</v>
      </c>
      <c r="H35" s="15">
        <v>43904</v>
      </c>
      <c r="I35">
        <f t="shared" si="0"/>
        <v>1.2828875842574472</v>
      </c>
      <c r="J35">
        <f t="shared" si="1"/>
        <v>33.616003479017174</v>
      </c>
      <c r="K35">
        <f t="shared" si="2"/>
        <v>9.5064815228229974E-2</v>
      </c>
      <c r="L35" t="str" cm="1">
        <f t="array" ref="L35">_xlfn.IFS(I35&gt;5,"high risk",I35&lt;2,"low risk",AND(I35&lt;=5,I35&gt;=2),"moderate risk")</f>
        <v>low risk</v>
      </c>
      <c r="M35" cm="1">
        <f t="array" ref="M35">_xlfn.IFS(L35="low risk",1,L35="moderate risk",2,L35="high risk",3)</f>
        <v>1</v>
      </c>
    </row>
    <row r="36" spans="1:13" ht="18" customHeight="1" x14ac:dyDescent="0.35">
      <c r="A36" s="6" t="s">
        <v>38</v>
      </c>
      <c r="B36" s="12">
        <v>922</v>
      </c>
      <c r="C36" s="12">
        <v>75</v>
      </c>
      <c r="D36" s="12">
        <v>810</v>
      </c>
      <c r="E36" s="12">
        <v>37</v>
      </c>
      <c r="F36" s="16" t="s">
        <v>206</v>
      </c>
      <c r="G36" s="6" t="s">
        <v>197</v>
      </c>
      <c r="H36" s="13">
        <v>43909</v>
      </c>
      <c r="I36">
        <f t="shared" si="0"/>
        <v>8.1344902386117131</v>
      </c>
      <c r="J36">
        <f t="shared" si="1"/>
        <v>87.85249457700651</v>
      </c>
      <c r="K36" t="e">
        <f t="shared" si="2"/>
        <v>#VALUE!</v>
      </c>
      <c r="L36" t="str" cm="1">
        <f t="array" ref="L36">_xlfn.IFS(I36&gt;5,"high risk",I36&lt;2,"low risk",AND(I36&lt;=5,I36&gt;=2),"moderate risk")</f>
        <v>high risk</v>
      </c>
      <c r="M36" cm="1">
        <f t="array" ref="M36">_xlfn.IFS(L36="low risk",1,L36="moderate risk",2,L36="high risk",3)</f>
        <v>3</v>
      </c>
    </row>
    <row r="37" spans="1:13" ht="18" customHeight="1" x14ac:dyDescent="0.35">
      <c r="A37" s="7" t="s">
        <v>39</v>
      </c>
      <c r="B37" s="14">
        <v>347923</v>
      </c>
      <c r="C37" s="14">
        <v>9187</v>
      </c>
      <c r="D37" s="14">
        <v>319954</v>
      </c>
      <c r="E37" s="14">
        <v>18782</v>
      </c>
      <c r="F37" s="14">
        <v>19132514</v>
      </c>
      <c r="G37" s="7" t="s">
        <v>199</v>
      </c>
      <c r="H37" s="15">
        <v>43893</v>
      </c>
      <c r="I37">
        <f t="shared" si="0"/>
        <v>2.6405267832250239</v>
      </c>
      <c r="J37">
        <f t="shared" si="1"/>
        <v>91.961152323933746</v>
      </c>
      <c r="K37">
        <f t="shared" si="2"/>
        <v>1.8184907639424697</v>
      </c>
      <c r="L37" t="str" cm="1">
        <f t="array" ref="L37">_xlfn.IFS(I37&gt;5,"high risk",I37&lt;2,"low risk",AND(I37&lt;=5,I37&gt;=2),"moderate risk")</f>
        <v>moderate risk</v>
      </c>
      <c r="M37" cm="1">
        <f t="array" ref="M37">_xlfn.IFS(L37="low risk",1,L37="moderate risk",2,L37="high risk",3)</f>
        <v>2</v>
      </c>
    </row>
    <row r="38" spans="1:13" ht="18" customHeight="1" x14ac:dyDescent="0.35">
      <c r="A38" s="6" t="s">
        <v>40</v>
      </c>
      <c r="B38" s="12">
        <v>86783</v>
      </c>
      <c r="C38" s="12">
        <v>4656</v>
      </c>
      <c r="D38" s="12">
        <v>78869</v>
      </c>
      <c r="E38" s="12">
        <v>3258</v>
      </c>
      <c r="F38" s="16">
        <v>1411778724</v>
      </c>
      <c r="G38" s="6" t="s">
        <v>197</v>
      </c>
      <c r="H38" s="13">
        <v>43786</v>
      </c>
      <c r="I38">
        <f t="shared" si="0"/>
        <v>5.3651060691610111</v>
      </c>
      <c r="J38">
        <f t="shared" si="1"/>
        <v>90.880702441722462</v>
      </c>
      <c r="K38">
        <f t="shared" si="2"/>
        <v>6.1470681293536757E-3</v>
      </c>
      <c r="L38" t="str" cm="1">
        <f t="array" ref="L38">_xlfn.IFS(I38&gt;5,"high risk",I38&lt;2,"low risk",AND(I38&lt;=5,I38&gt;=2),"moderate risk")</f>
        <v>high risk</v>
      </c>
      <c r="M38" cm="1">
        <f t="array" ref="M38">_xlfn.IFS(L38="low risk",1,L38="moderate risk",2,L38="high risk",3)</f>
        <v>3</v>
      </c>
    </row>
    <row r="39" spans="1:13" ht="18" customHeight="1" x14ac:dyDescent="0.35">
      <c r="A39" s="7" t="s">
        <v>41</v>
      </c>
      <c r="B39" s="14">
        <v>257101</v>
      </c>
      <c r="C39" s="14">
        <v>8777</v>
      </c>
      <c r="D39" s="14">
        <v>131161</v>
      </c>
      <c r="E39" s="14">
        <v>117163</v>
      </c>
      <c r="F39" s="14">
        <v>50936262</v>
      </c>
      <c r="G39" s="7" t="s">
        <v>199</v>
      </c>
      <c r="H39" s="15">
        <v>43896</v>
      </c>
      <c r="I39">
        <f t="shared" si="0"/>
        <v>3.4138334740043796</v>
      </c>
      <c r="J39">
        <f t="shared" si="1"/>
        <v>51.015359722443712</v>
      </c>
      <c r="K39">
        <f t="shared" si="2"/>
        <v>0.50475042711222118</v>
      </c>
      <c r="L39" t="str" cm="1">
        <f t="array" ref="L39">_xlfn.IFS(I39&gt;5,"high risk",I39&lt;2,"low risk",AND(I39&lt;=5,I39&gt;=2),"moderate risk")</f>
        <v>moderate risk</v>
      </c>
      <c r="M39" cm="1">
        <f t="array" ref="M39">_xlfn.IFS(L39="low risk",1,L39="moderate risk",2,L39="high risk",3)</f>
        <v>2</v>
      </c>
    </row>
    <row r="40" spans="1:13" ht="18" customHeight="1" x14ac:dyDescent="0.35">
      <c r="A40" s="6" t="s">
        <v>42</v>
      </c>
      <c r="B40" s="12">
        <v>354</v>
      </c>
      <c r="C40" s="12">
        <v>7</v>
      </c>
      <c r="D40" s="12">
        <v>328</v>
      </c>
      <c r="E40" s="12">
        <v>19</v>
      </c>
      <c r="F40" s="12">
        <v>871326</v>
      </c>
      <c r="G40" s="6" t="s">
        <v>197</v>
      </c>
      <c r="H40" s="13">
        <v>43951</v>
      </c>
      <c r="I40">
        <f t="shared" si="0"/>
        <v>1.977401129943503</v>
      </c>
      <c r="J40">
        <f t="shared" si="1"/>
        <v>92.655367231638422</v>
      </c>
      <c r="K40">
        <f t="shared" si="2"/>
        <v>4.0627732903643417E-2</v>
      </c>
      <c r="L40" t="str" cm="1">
        <f t="array" ref="L40">_xlfn.IFS(I40&gt;5,"high risk",I40&lt;2,"low risk",AND(I40&lt;=5,I40&gt;=2),"moderate risk")</f>
        <v>low risk</v>
      </c>
      <c r="M40" cm="1">
        <f t="array" ref="M40">_xlfn.IFS(L40="low risk",1,L40="moderate risk",2,L40="high risk",3)</f>
        <v>1</v>
      </c>
    </row>
    <row r="41" spans="1:13" ht="18" customHeight="1" x14ac:dyDescent="0.35">
      <c r="A41" s="7" t="s">
        <v>43</v>
      </c>
      <c r="B41" s="14">
        <v>3200</v>
      </c>
      <c r="C41" s="14">
        <v>54</v>
      </c>
      <c r="D41" s="14">
        <v>829</v>
      </c>
      <c r="E41" s="14">
        <v>2317</v>
      </c>
      <c r="F41" s="14">
        <v>5530506</v>
      </c>
      <c r="G41" s="7" t="s">
        <v>197</v>
      </c>
      <c r="H41" s="15">
        <v>43904</v>
      </c>
      <c r="I41">
        <f t="shared" si="0"/>
        <v>1.6875</v>
      </c>
      <c r="J41">
        <f t="shared" si="1"/>
        <v>25.906249999999996</v>
      </c>
      <c r="K41">
        <f t="shared" si="2"/>
        <v>5.7860890124701074E-2</v>
      </c>
      <c r="L41" t="str" cm="1">
        <f t="array" ref="L41">_xlfn.IFS(I41&gt;5,"high risk",I41&lt;2,"low risk",AND(I41&lt;=5,I41&gt;=2),"moderate risk")</f>
        <v>low risk</v>
      </c>
      <c r="M41" cm="1">
        <f t="array" ref="M41">_xlfn.IFS(L41="low risk",1,L41="moderate risk",2,L41="high risk",3)</f>
        <v>1</v>
      </c>
    </row>
    <row r="42" spans="1:13" ht="18" customHeight="1" x14ac:dyDescent="0.35">
      <c r="A42" s="6" t="s">
        <v>44</v>
      </c>
      <c r="B42" s="12">
        <v>8844</v>
      </c>
      <c r="C42" s="12">
        <v>208</v>
      </c>
      <c r="D42" s="12">
        <v>5700</v>
      </c>
      <c r="E42" s="12">
        <v>2936</v>
      </c>
      <c r="F42" s="16">
        <v>96076573</v>
      </c>
      <c r="G42" s="6" t="s">
        <v>197</v>
      </c>
      <c r="H42" s="13">
        <v>43900</v>
      </c>
      <c r="I42">
        <f t="shared" si="0"/>
        <v>2.3518769787426503</v>
      </c>
      <c r="J42">
        <f t="shared" si="1"/>
        <v>64.450474898236081</v>
      </c>
      <c r="K42">
        <f t="shared" si="2"/>
        <v>9.2051576402501362E-3</v>
      </c>
      <c r="L42" t="str" cm="1">
        <f t="array" ref="L42">_xlfn.IFS(I42&gt;5,"high risk",I42&lt;2,"low risk",AND(I42&lt;=5,I42&gt;=2),"moderate risk")</f>
        <v>moderate risk</v>
      </c>
      <c r="M42" cm="1">
        <f t="array" ref="M42">_xlfn.IFS(L42="low risk",1,L42="moderate risk",2,L42="high risk",3)</f>
        <v>2</v>
      </c>
    </row>
    <row r="43" spans="1:13" ht="18" customHeight="1" x14ac:dyDescent="0.35">
      <c r="A43" s="7" t="s">
        <v>45</v>
      </c>
      <c r="B43" s="14">
        <v>15841</v>
      </c>
      <c r="C43" s="14">
        <v>115</v>
      </c>
      <c r="D43" s="14">
        <v>3824</v>
      </c>
      <c r="E43" s="14">
        <v>11902</v>
      </c>
      <c r="F43" s="14">
        <v>5098730</v>
      </c>
      <c r="G43" s="7" t="s">
        <v>198</v>
      </c>
      <c r="H43" s="15">
        <v>43896</v>
      </c>
      <c r="I43">
        <f t="shared" si="0"/>
        <v>0.72596426993245378</v>
      </c>
      <c r="J43">
        <f t="shared" si="1"/>
        <v>24.139890158449592</v>
      </c>
      <c r="K43">
        <f t="shared" si="2"/>
        <v>0.31068520984637354</v>
      </c>
      <c r="L43" t="str" cm="1">
        <f t="array" ref="L43">_xlfn.IFS(I43&gt;5,"high risk",I43&lt;2,"low risk",AND(I43&lt;=5,I43&gt;=2),"moderate risk")</f>
        <v>low risk</v>
      </c>
      <c r="M43" cm="1">
        <f t="array" ref="M43">_xlfn.IFS(L43="low risk",1,L43="moderate risk",2,L43="high risk",3)</f>
        <v>1</v>
      </c>
    </row>
    <row r="44" spans="1:13" ht="18" customHeight="1" x14ac:dyDescent="0.35">
      <c r="A44" s="6" t="s">
        <v>46</v>
      </c>
      <c r="B44" s="12">
        <v>15655</v>
      </c>
      <c r="C44" s="12">
        <v>96</v>
      </c>
      <c r="D44" s="12">
        <v>10361</v>
      </c>
      <c r="E44" s="12">
        <v>5198</v>
      </c>
      <c r="F44" s="16">
        <v>26172000</v>
      </c>
      <c r="G44" s="6" t="s">
        <v>197</v>
      </c>
      <c r="H44" s="13">
        <v>43901</v>
      </c>
      <c r="I44">
        <f t="shared" si="0"/>
        <v>0.61322261258383903</v>
      </c>
      <c r="J44">
        <f t="shared" si="1"/>
        <v>66.183328010220379</v>
      </c>
      <c r="K44">
        <f t="shared" si="2"/>
        <v>5.9815833715421061E-2</v>
      </c>
      <c r="L44" t="str" cm="1">
        <f t="array" ref="L44">_xlfn.IFS(I44&gt;5,"high risk",I44&lt;2,"low risk",AND(I44&lt;=5,I44&gt;=2),"moderate risk")</f>
        <v>low risk</v>
      </c>
      <c r="M44" cm="1">
        <f t="array" ref="M44">_xlfn.IFS(L44="low risk",1,L44="moderate risk",2,L44="high risk",3)</f>
        <v>1</v>
      </c>
    </row>
    <row r="45" spans="1:13" ht="18" customHeight="1" x14ac:dyDescent="0.35">
      <c r="A45" s="7" t="s">
        <v>47</v>
      </c>
      <c r="B45" s="14">
        <v>4881</v>
      </c>
      <c r="C45" s="14">
        <v>139</v>
      </c>
      <c r="D45" s="14">
        <v>3936</v>
      </c>
      <c r="E45" s="14">
        <v>806</v>
      </c>
      <c r="F45" s="14">
        <v>4102577</v>
      </c>
      <c r="G45" s="7" t="s">
        <v>196</v>
      </c>
      <c r="H45" s="15">
        <v>43886</v>
      </c>
      <c r="I45">
        <f t="shared" si="0"/>
        <v>2.8477770948576113</v>
      </c>
      <c r="J45">
        <f t="shared" si="1"/>
        <v>80.639213275968032</v>
      </c>
      <c r="K45">
        <f t="shared" si="2"/>
        <v>0.11897400097548444</v>
      </c>
      <c r="L45" t="str" cm="1">
        <f t="array" ref="L45">_xlfn.IFS(I45&gt;5,"high risk",I45&lt;2,"low risk",AND(I45&lt;=5,I45&gt;=2),"moderate risk")</f>
        <v>moderate risk</v>
      </c>
      <c r="M45" cm="1">
        <f t="array" ref="M45">_xlfn.IFS(L45="low risk",1,L45="moderate risk",2,L45="high risk",3)</f>
        <v>2</v>
      </c>
    </row>
    <row r="46" spans="1:13" ht="18" customHeight="1" x14ac:dyDescent="0.35">
      <c r="A46" s="6" t="s">
        <v>48</v>
      </c>
      <c r="B46" s="12">
        <v>2532</v>
      </c>
      <c r="C46" s="12">
        <v>87</v>
      </c>
      <c r="D46" s="12">
        <v>2351</v>
      </c>
      <c r="E46" s="12">
        <v>94</v>
      </c>
      <c r="F46" s="12">
        <v>11325899</v>
      </c>
      <c r="G46" s="6" t="s">
        <v>198</v>
      </c>
      <c r="H46" s="13">
        <v>43901</v>
      </c>
      <c r="I46">
        <f t="shared" si="0"/>
        <v>3.4360189573459716</v>
      </c>
      <c r="J46">
        <f t="shared" si="1"/>
        <v>92.851500789889414</v>
      </c>
      <c r="K46">
        <f t="shared" si="2"/>
        <v>2.2355841244920162E-2</v>
      </c>
      <c r="L46" t="str" cm="1">
        <f t="array" ref="L46">_xlfn.IFS(I46&gt;5,"high risk",I46&lt;2,"low risk",AND(I46&lt;=5,I46&gt;=2),"moderate risk")</f>
        <v>moderate risk</v>
      </c>
      <c r="M46" cm="1">
        <f t="array" ref="M46">_xlfn.IFS(L46="low risk",1,L46="moderate risk",2,L46="high risk",3)</f>
        <v>2</v>
      </c>
    </row>
    <row r="47" spans="1:13" ht="18" customHeight="1" x14ac:dyDescent="0.35">
      <c r="A47" s="7" t="s">
        <v>49</v>
      </c>
      <c r="B47" s="14">
        <v>1060</v>
      </c>
      <c r="C47" s="14">
        <v>19</v>
      </c>
      <c r="D47" s="14">
        <v>852</v>
      </c>
      <c r="E47" s="14">
        <v>189</v>
      </c>
      <c r="F47" s="14">
        <v>1208238</v>
      </c>
      <c r="G47" s="7" t="s">
        <v>195</v>
      </c>
      <c r="H47" s="15">
        <v>43899</v>
      </c>
      <c r="I47">
        <f t="shared" si="0"/>
        <v>1.7924528301886793</v>
      </c>
      <c r="J47">
        <f t="shared" si="1"/>
        <v>80.377358490566039</v>
      </c>
      <c r="K47">
        <f t="shared" si="2"/>
        <v>8.7731059609116743E-2</v>
      </c>
      <c r="L47" t="str" cm="1">
        <f t="array" ref="L47">_xlfn.IFS(I47&gt;5,"high risk",I47&lt;2,"low risk",AND(I47&lt;=5,I47&gt;=2),"moderate risk")</f>
        <v>low risk</v>
      </c>
      <c r="M47" cm="1">
        <f t="array" ref="M47">_xlfn.IFS(L47="low risk",1,L47="moderate risk",2,L47="high risk",3)</f>
        <v>1</v>
      </c>
    </row>
    <row r="48" spans="1:13" ht="18" customHeight="1" x14ac:dyDescent="0.35">
      <c r="A48" s="6" t="s">
        <v>50</v>
      </c>
      <c r="B48" s="12">
        <v>15516</v>
      </c>
      <c r="C48" s="12">
        <v>373</v>
      </c>
      <c r="D48" s="12">
        <v>11428</v>
      </c>
      <c r="E48" s="12">
        <v>3715</v>
      </c>
      <c r="F48" s="12">
        <v>10711019</v>
      </c>
      <c r="G48" s="6" t="s">
        <v>196</v>
      </c>
      <c r="H48" s="13">
        <v>43891</v>
      </c>
      <c r="I48">
        <f t="shared" si="0"/>
        <v>2.4039700953854086</v>
      </c>
      <c r="J48">
        <f t="shared" si="1"/>
        <v>73.653003351379226</v>
      </c>
      <c r="K48">
        <f t="shared" si="2"/>
        <v>0.1448601668991531</v>
      </c>
      <c r="L48" t="str" cm="1">
        <f t="array" ref="L48">_xlfn.IFS(I48&gt;5,"high risk",I48&lt;2,"low risk",AND(I48&lt;=5,I48&gt;=2),"moderate risk")</f>
        <v>moderate risk</v>
      </c>
      <c r="M48" cm="1">
        <f t="array" ref="M48">_xlfn.IFS(L48="low risk",1,L48="moderate risk",2,L48="high risk",3)</f>
        <v>2</v>
      </c>
    </row>
    <row r="49" spans="1:13" ht="18" customHeight="1" x14ac:dyDescent="0.35">
      <c r="A49" s="7" t="s">
        <v>51</v>
      </c>
      <c r="B49" s="14">
        <v>13761</v>
      </c>
      <c r="C49" s="14">
        <v>613</v>
      </c>
      <c r="D49" s="14">
        <v>12605</v>
      </c>
      <c r="E49" s="14">
        <v>543</v>
      </c>
      <c r="F49" s="14">
        <v>5794279</v>
      </c>
      <c r="G49" s="7" t="s">
        <v>196</v>
      </c>
      <c r="H49" s="15">
        <v>43888</v>
      </c>
      <c r="I49">
        <f t="shared" si="0"/>
        <v>4.4546181236828719</v>
      </c>
      <c r="J49">
        <f t="shared" si="1"/>
        <v>91.599447714555623</v>
      </c>
      <c r="K49">
        <f t="shared" si="2"/>
        <v>0.23749287875160999</v>
      </c>
      <c r="L49" t="str" cm="1">
        <f t="array" ref="L49">_xlfn.IFS(I49&gt;5,"high risk",I49&lt;2,"low risk",AND(I49&lt;=5,I49&gt;=2),"moderate risk")</f>
        <v>moderate risk</v>
      </c>
      <c r="M49" cm="1">
        <f t="array" ref="M49">_xlfn.IFS(L49="low risk",1,L49="moderate risk",2,L49="high risk",3)</f>
        <v>2</v>
      </c>
    </row>
    <row r="50" spans="1:13" ht="18" customHeight="1" x14ac:dyDescent="0.35">
      <c r="A50" s="6" t="s">
        <v>52</v>
      </c>
      <c r="B50" s="12">
        <v>5059</v>
      </c>
      <c r="C50" s="12">
        <v>58</v>
      </c>
      <c r="D50" s="12">
        <v>4977</v>
      </c>
      <c r="E50" s="12">
        <v>24</v>
      </c>
      <c r="F50" s="12">
        <v>989387</v>
      </c>
      <c r="G50" s="6" t="s">
        <v>197</v>
      </c>
      <c r="H50" s="13">
        <v>43908</v>
      </c>
      <c r="I50">
        <f t="shared" si="0"/>
        <v>1.1464716347104171</v>
      </c>
      <c r="J50">
        <f t="shared" si="1"/>
        <v>98.379126309547331</v>
      </c>
      <c r="K50">
        <f t="shared" si="2"/>
        <v>0.51132671037723354</v>
      </c>
      <c r="L50" t="str" cm="1">
        <f t="array" ref="L50">_xlfn.IFS(I50&gt;5,"high risk",I50&lt;2,"low risk",AND(I50&lt;=5,I50&gt;=2),"moderate risk")</f>
        <v>low risk</v>
      </c>
      <c r="M50" cm="1">
        <f t="array" ref="M50">_xlfn.IFS(L50="low risk",1,L50="moderate risk",2,L50="high risk",3)</f>
        <v>1</v>
      </c>
    </row>
    <row r="51" spans="1:13" ht="18" customHeight="1" x14ac:dyDescent="0.35">
      <c r="A51" s="7" t="s">
        <v>53</v>
      </c>
      <c r="B51" s="14">
        <v>18</v>
      </c>
      <c r="C51" s="14">
        <v>0</v>
      </c>
      <c r="D51" s="14">
        <v>18</v>
      </c>
      <c r="E51" s="14">
        <v>0</v>
      </c>
      <c r="F51" s="14">
        <v>72004</v>
      </c>
      <c r="G51" s="7" t="s">
        <v>198</v>
      </c>
      <c r="H51" s="15">
        <v>43912</v>
      </c>
      <c r="I51">
        <f t="shared" si="0"/>
        <v>0</v>
      </c>
      <c r="J51">
        <f t="shared" si="1"/>
        <v>100</v>
      </c>
      <c r="K51">
        <f t="shared" si="2"/>
        <v>2.4998611188267315E-2</v>
      </c>
      <c r="L51" t="str" cm="1">
        <f t="array" ref="L51">_xlfn.IFS(I51&gt;5,"high risk",I51&lt;2,"low risk",AND(I51&lt;=5,I51&gt;=2),"moderate risk")</f>
        <v>low risk</v>
      </c>
      <c r="M51" cm="1">
        <f t="array" ref="M51">_xlfn.IFS(L51="low risk",1,L51="moderate risk",2,L51="high risk",3)</f>
        <v>1</v>
      </c>
    </row>
    <row r="52" spans="1:13" ht="18" customHeight="1" x14ac:dyDescent="0.35">
      <c r="A52" s="6" t="s">
        <v>54</v>
      </c>
      <c r="B52" s="12">
        <v>64156</v>
      </c>
      <c r="C52" s="12">
        <v>1083</v>
      </c>
      <c r="D52" s="12">
        <v>30204</v>
      </c>
      <c r="E52" s="12">
        <v>32869</v>
      </c>
      <c r="F52" s="12">
        <v>10858648</v>
      </c>
      <c r="G52" s="6" t="s">
        <v>198</v>
      </c>
      <c r="H52" s="13">
        <v>43891</v>
      </c>
      <c r="I52">
        <f t="shared" si="0"/>
        <v>1.688072822495168</v>
      </c>
      <c r="J52">
        <f t="shared" si="1"/>
        <v>47.078994949809839</v>
      </c>
      <c r="K52">
        <f t="shared" si="2"/>
        <v>0.59082861881147641</v>
      </c>
      <c r="L52" t="str" cm="1">
        <f t="array" ref="L52">_xlfn.IFS(I52&gt;5,"high risk",I52&lt;2,"low risk",AND(I52&lt;=5,I52&gt;=2),"moderate risk")</f>
        <v>low risk</v>
      </c>
      <c r="M52" cm="1">
        <f t="array" ref="M52">_xlfn.IFS(L52="low risk",1,L52="moderate risk",2,L52="high risk",3)</f>
        <v>1</v>
      </c>
    </row>
    <row r="53" spans="1:13" ht="18" customHeight="1" x14ac:dyDescent="0.35">
      <c r="A53" s="7" t="s">
        <v>55</v>
      </c>
      <c r="B53" s="14">
        <v>81161</v>
      </c>
      <c r="C53" s="14">
        <v>5532</v>
      </c>
      <c r="D53" s="14">
        <v>34896</v>
      </c>
      <c r="E53" s="14">
        <v>40733</v>
      </c>
      <c r="F53" s="14">
        <v>17668824</v>
      </c>
      <c r="G53" s="7" t="s">
        <v>199</v>
      </c>
      <c r="H53" s="15">
        <v>43890</v>
      </c>
      <c r="I53">
        <f t="shared" si="0"/>
        <v>6.8160816155542685</v>
      </c>
      <c r="J53">
        <f t="shared" si="1"/>
        <v>42.996020256034299</v>
      </c>
      <c r="K53">
        <f t="shared" si="2"/>
        <v>0.45934579460410035</v>
      </c>
      <c r="L53" t="str" cm="1">
        <f t="array" ref="L53">_xlfn.IFS(I53&gt;5,"high risk",I53&lt;2,"low risk",AND(I53&lt;=5,I53&gt;=2),"moderate risk")</f>
        <v>high risk</v>
      </c>
      <c r="M53" cm="1">
        <f t="array" ref="M53">_xlfn.IFS(L53="low risk",1,L53="moderate risk",2,L53="high risk",3)</f>
        <v>3</v>
      </c>
    </row>
    <row r="54" spans="1:13" ht="18" customHeight="1" x14ac:dyDescent="0.35">
      <c r="A54" s="6" t="s">
        <v>56</v>
      </c>
      <c r="B54" s="12">
        <v>92482</v>
      </c>
      <c r="C54" s="12">
        <v>4652</v>
      </c>
      <c r="D54" s="12">
        <v>34838</v>
      </c>
      <c r="E54" s="12">
        <v>52992</v>
      </c>
      <c r="F54" s="12">
        <v>102516525</v>
      </c>
      <c r="G54" s="6" t="s">
        <v>197</v>
      </c>
      <c r="H54" s="13">
        <v>43875</v>
      </c>
      <c r="I54">
        <f t="shared" si="0"/>
        <v>5.0301680326982545</v>
      </c>
      <c r="J54">
        <f t="shared" si="1"/>
        <v>37.670033087519734</v>
      </c>
      <c r="K54">
        <f t="shared" si="2"/>
        <v>9.0211797561417534E-2</v>
      </c>
      <c r="L54" t="str" cm="1">
        <f t="array" ref="L54">_xlfn.IFS(I54&gt;5,"high risk",I54&lt;2,"low risk",AND(I54&lt;=5,I54&gt;=2),"moderate risk")</f>
        <v>high risk</v>
      </c>
      <c r="M54" cm="1">
        <f t="array" ref="M54">_xlfn.IFS(L54="low risk",1,L54="moderate risk",2,L54="high risk",3)</f>
        <v>3</v>
      </c>
    </row>
    <row r="55" spans="1:13" ht="18" customHeight="1" x14ac:dyDescent="0.35">
      <c r="A55" s="7" t="s">
        <v>57</v>
      </c>
      <c r="B55" s="14">
        <v>15035</v>
      </c>
      <c r="C55" s="14">
        <v>408</v>
      </c>
      <c r="D55" s="14">
        <v>7778</v>
      </c>
      <c r="E55" s="14">
        <v>6849</v>
      </c>
      <c r="F55" s="14">
        <v>6489514</v>
      </c>
      <c r="G55" s="7" t="s">
        <v>198</v>
      </c>
      <c r="H55" s="15">
        <v>43909</v>
      </c>
      <c r="I55">
        <f t="shared" si="0"/>
        <v>2.7136681077485867</v>
      </c>
      <c r="J55">
        <f t="shared" si="1"/>
        <v>51.732623877618892</v>
      </c>
      <c r="K55">
        <f t="shared" si="2"/>
        <v>0.23168144794818227</v>
      </c>
      <c r="L55" t="str" cm="1">
        <f t="array" ref="L55">_xlfn.IFS(I55&gt;5,"high risk",I55&lt;2,"low risk",AND(I55&lt;=5,I55&gt;=2),"moderate risk")</f>
        <v>moderate risk</v>
      </c>
      <c r="M55" cm="1">
        <f t="array" ref="M55">_xlfn.IFS(L55="low risk",1,L55="moderate risk",2,L55="high risk",3)</f>
        <v>2</v>
      </c>
    </row>
    <row r="56" spans="1:13" ht="18" customHeight="1" x14ac:dyDescent="0.35">
      <c r="A56" s="6" t="s">
        <v>58</v>
      </c>
      <c r="B56" s="12">
        <v>3071</v>
      </c>
      <c r="C56" s="12">
        <v>51</v>
      </c>
      <c r="D56" s="12">
        <v>842</v>
      </c>
      <c r="E56" s="12">
        <v>2178</v>
      </c>
      <c r="F56" s="12">
        <v>1407001</v>
      </c>
      <c r="G56" s="6" t="s">
        <v>197</v>
      </c>
      <c r="H56" s="13">
        <v>43904</v>
      </c>
      <c r="I56">
        <f t="shared" si="0"/>
        <v>1.6606968414197329</v>
      </c>
      <c r="J56">
        <f t="shared" si="1"/>
        <v>27.417779225008143</v>
      </c>
      <c r="K56">
        <f t="shared" si="2"/>
        <v>0.21826565865980196</v>
      </c>
      <c r="L56" t="str" cm="1">
        <f t="array" ref="L56">_xlfn.IFS(I56&gt;5,"high risk",I56&lt;2,"low risk",AND(I56&lt;=5,I56&gt;=2),"moderate risk")</f>
        <v>low risk</v>
      </c>
      <c r="M56" cm="1">
        <f t="array" ref="M56">_xlfn.IFS(L56="low risk",1,L56="moderate risk",2,L56="high risk",3)</f>
        <v>1</v>
      </c>
    </row>
    <row r="57" spans="1:13" ht="18" customHeight="1" x14ac:dyDescent="0.35">
      <c r="A57" s="7" t="s">
        <v>59</v>
      </c>
      <c r="B57" s="14">
        <v>265</v>
      </c>
      <c r="C57" s="14">
        <v>0</v>
      </c>
      <c r="D57" s="14">
        <v>191</v>
      </c>
      <c r="E57" s="14">
        <v>74</v>
      </c>
      <c r="F57" s="14">
        <v>3551175</v>
      </c>
      <c r="G57" s="7" t="s">
        <v>197</v>
      </c>
      <c r="H57" s="15">
        <v>43911</v>
      </c>
      <c r="I57">
        <f t="shared" si="0"/>
        <v>0</v>
      </c>
      <c r="J57">
        <f t="shared" si="1"/>
        <v>72.075471698113205</v>
      </c>
      <c r="K57">
        <f t="shared" si="2"/>
        <v>7.4623188099713477E-3</v>
      </c>
      <c r="L57" t="str" cm="1">
        <f t="array" ref="L57">_xlfn.IFS(I57&gt;5,"high risk",I57&lt;2,"low risk",AND(I57&lt;=5,I57&gt;=2),"moderate risk")</f>
        <v>low risk</v>
      </c>
      <c r="M57" cm="1">
        <f t="array" ref="M57">_xlfn.IFS(L57="low risk",1,L57="moderate risk",2,L57="high risk",3)</f>
        <v>1</v>
      </c>
    </row>
    <row r="58" spans="1:13" ht="18" customHeight="1" x14ac:dyDescent="0.35">
      <c r="A58" s="6" t="s">
        <v>60</v>
      </c>
      <c r="B58" s="12">
        <v>2034</v>
      </c>
      <c r="C58" s="12">
        <v>69</v>
      </c>
      <c r="D58" s="12">
        <v>1923</v>
      </c>
      <c r="E58" s="12">
        <v>42</v>
      </c>
      <c r="F58" s="12">
        <v>1326627</v>
      </c>
      <c r="G58" s="6" t="s">
        <v>196</v>
      </c>
      <c r="H58" s="13">
        <v>43888</v>
      </c>
      <c r="I58">
        <f t="shared" si="0"/>
        <v>3.3923303834808261</v>
      </c>
      <c r="J58">
        <f t="shared" si="1"/>
        <v>94.542772861356923</v>
      </c>
      <c r="K58">
        <f t="shared" si="2"/>
        <v>0.15332116714042457</v>
      </c>
      <c r="L58" t="str" cm="1">
        <f t="array" ref="L58">_xlfn.IFS(I58&gt;5,"high risk",I58&lt;2,"low risk",AND(I58&lt;=5,I58&gt;=2),"moderate risk")</f>
        <v>moderate risk</v>
      </c>
      <c r="M58" cm="1">
        <f t="array" ref="M58">_xlfn.IFS(L58="low risk",1,L58="moderate risk",2,L58="high risk",3)</f>
        <v>2</v>
      </c>
    </row>
    <row r="59" spans="1:13" ht="18" customHeight="1" x14ac:dyDescent="0.35">
      <c r="A59" s="7" t="s">
        <v>61</v>
      </c>
      <c r="B59" s="14">
        <v>2316</v>
      </c>
      <c r="C59" s="14">
        <v>34</v>
      </c>
      <c r="D59" s="14">
        <v>1025</v>
      </c>
      <c r="E59" s="14">
        <v>1257</v>
      </c>
      <c r="F59" s="14">
        <v>1161348</v>
      </c>
      <c r="G59" s="7" t="s">
        <v>197</v>
      </c>
      <c r="H59" s="15">
        <v>43904</v>
      </c>
      <c r="I59">
        <f t="shared" si="0"/>
        <v>1.468048359240069</v>
      </c>
      <c r="J59">
        <f t="shared" si="1"/>
        <v>44.2573402417962</v>
      </c>
      <c r="K59">
        <f t="shared" si="2"/>
        <v>0.19942342863637774</v>
      </c>
      <c r="L59" t="str" cm="1">
        <f t="array" ref="L59">_xlfn.IFS(I59&gt;5,"high risk",I59&lt;2,"low risk",AND(I59&lt;=5,I59&gt;=2),"moderate risk")</f>
        <v>low risk</v>
      </c>
      <c r="M59" cm="1">
        <f t="array" ref="M59">_xlfn.IFS(L59="low risk",1,L59="moderate risk",2,L59="high risk",3)</f>
        <v>1</v>
      </c>
    </row>
    <row r="60" spans="1:13" ht="18" customHeight="1" x14ac:dyDescent="0.35">
      <c r="A60" s="6" t="s">
        <v>62</v>
      </c>
      <c r="B60" s="12">
        <v>14547</v>
      </c>
      <c r="C60" s="12">
        <v>228</v>
      </c>
      <c r="D60" s="12">
        <v>6386</v>
      </c>
      <c r="E60" s="12">
        <v>7933</v>
      </c>
      <c r="F60" s="12">
        <v>115223736</v>
      </c>
      <c r="G60" s="6" t="s">
        <v>197</v>
      </c>
      <c r="H60" s="13">
        <v>43903</v>
      </c>
      <c r="I60">
        <f t="shared" si="0"/>
        <v>1.5673334708187256</v>
      </c>
      <c r="J60">
        <f t="shared" si="1"/>
        <v>43.899085722142026</v>
      </c>
      <c r="K60">
        <f t="shared" si="2"/>
        <v>1.2625002890029532E-2</v>
      </c>
      <c r="L60" t="str" cm="1">
        <f t="array" ref="L60">_xlfn.IFS(I60&gt;5,"high risk",I60&lt;2,"low risk",AND(I60&lt;=5,I60&gt;=2),"moderate risk")</f>
        <v>low risk</v>
      </c>
      <c r="M60" cm="1">
        <f t="array" ref="M60">_xlfn.IFS(L60="low risk",1,L60="moderate risk",2,L60="high risk",3)</f>
        <v>1</v>
      </c>
    </row>
    <row r="61" spans="1:13" ht="18" customHeight="1" x14ac:dyDescent="0.35">
      <c r="A61" s="7" t="s">
        <v>63</v>
      </c>
      <c r="B61" s="14">
        <v>27</v>
      </c>
      <c r="C61" s="14">
        <v>0</v>
      </c>
      <c r="D61" s="14">
        <v>18</v>
      </c>
      <c r="E61" s="14">
        <v>9</v>
      </c>
      <c r="F61" s="14">
        <v>897095</v>
      </c>
      <c r="G61" s="7" t="s">
        <v>200</v>
      </c>
      <c r="H61" s="15">
        <v>43909</v>
      </c>
      <c r="I61">
        <f t="shared" si="0"/>
        <v>0</v>
      </c>
      <c r="J61">
        <f t="shared" si="1"/>
        <v>66.666666666666657</v>
      </c>
      <c r="K61">
        <f t="shared" si="2"/>
        <v>3.0097146901944608E-3</v>
      </c>
      <c r="L61" t="str" cm="1">
        <f t="array" ref="L61">_xlfn.IFS(I61&gt;5,"high risk",I61&lt;2,"low risk",AND(I61&lt;=5,I61&gt;=2),"moderate risk")</f>
        <v>low risk</v>
      </c>
      <c r="M61" cm="1">
        <f t="array" ref="M61">_xlfn.IFS(L61="low risk",1,L61="moderate risk",2,L61="high risk",3)</f>
        <v>1</v>
      </c>
    </row>
    <row r="62" spans="1:13" ht="18" customHeight="1" x14ac:dyDescent="0.35">
      <c r="A62" s="6" t="s">
        <v>64</v>
      </c>
      <c r="B62" s="12">
        <v>7398</v>
      </c>
      <c r="C62" s="12">
        <v>329</v>
      </c>
      <c r="D62" s="12">
        <v>6920</v>
      </c>
      <c r="E62" s="12">
        <v>149</v>
      </c>
      <c r="F62" s="12">
        <v>5541604</v>
      </c>
      <c r="G62" s="6" t="s">
        <v>196</v>
      </c>
      <c r="H62" s="13">
        <v>43887</v>
      </c>
      <c r="I62">
        <f t="shared" si="0"/>
        <v>4.4471478778048121</v>
      </c>
      <c r="J62">
        <f t="shared" si="1"/>
        <v>93.538794268721276</v>
      </c>
      <c r="K62">
        <f t="shared" si="2"/>
        <v>0.1334992540066017</v>
      </c>
      <c r="L62" t="str" cm="1">
        <f t="array" ref="L62">_xlfn.IFS(I62&gt;5,"high risk",I62&lt;2,"low risk",AND(I62&lt;=5,I62&gt;=2),"moderate risk")</f>
        <v>moderate risk</v>
      </c>
      <c r="M62" cm="1">
        <f t="array" ref="M62">_xlfn.IFS(L62="low risk",1,L62="moderate risk",2,L62="high risk",3)</f>
        <v>2</v>
      </c>
    </row>
    <row r="63" spans="1:13" ht="18" customHeight="1" x14ac:dyDescent="0.35">
      <c r="A63" s="7" t="s">
        <v>65</v>
      </c>
      <c r="B63" s="14">
        <v>220352</v>
      </c>
      <c r="C63" s="14">
        <v>30212</v>
      </c>
      <c r="D63" s="14">
        <v>81212</v>
      </c>
      <c r="E63" s="14">
        <v>108928</v>
      </c>
      <c r="F63" s="14">
        <v>65288306</v>
      </c>
      <c r="G63" s="7" t="s">
        <v>196</v>
      </c>
      <c r="H63" s="15">
        <v>43826</v>
      </c>
      <c r="I63">
        <f t="shared" si="0"/>
        <v>13.71079000871333</v>
      </c>
      <c r="J63">
        <f t="shared" si="1"/>
        <v>36.855576532094105</v>
      </c>
      <c r="K63">
        <f t="shared" si="2"/>
        <v>0.33750607650932157</v>
      </c>
      <c r="L63" t="str" cm="1">
        <f t="array" ref="L63">_xlfn.IFS(I63&gt;5,"high risk",I63&lt;2,"low risk",AND(I63&lt;=5,I63&gt;=2),"moderate risk")</f>
        <v>high risk</v>
      </c>
      <c r="M63" cm="1">
        <f t="array" ref="M63">_xlfn.IFS(L63="low risk",1,L63="moderate risk",2,L63="high risk",3)</f>
        <v>3</v>
      </c>
    </row>
    <row r="64" spans="1:13" ht="18" customHeight="1" x14ac:dyDescent="0.35">
      <c r="A64" s="6" t="s">
        <v>66</v>
      </c>
      <c r="B64" s="12">
        <v>7189</v>
      </c>
      <c r="C64" s="12">
        <v>49</v>
      </c>
      <c r="D64" s="12">
        <v>4682</v>
      </c>
      <c r="E64" s="12">
        <v>2458</v>
      </c>
      <c r="F64" s="12">
        <v>2230563</v>
      </c>
      <c r="G64" s="6" t="s">
        <v>197</v>
      </c>
      <c r="H64" s="13">
        <v>43902</v>
      </c>
      <c r="I64">
        <f t="shared" si="0"/>
        <v>0.6815968841285297</v>
      </c>
      <c r="J64">
        <f t="shared" si="1"/>
        <v>65.127277785505626</v>
      </c>
      <c r="K64">
        <f t="shared" si="2"/>
        <v>0.32229531288737417</v>
      </c>
      <c r="L64" t="str" cm="1">
        <f t="array" ref="L64">_xlfn.IFS(I64&gt;5,"high risk",I64&lt;2,"low risk",AND(I64&lt;=5,I64&gt;=2),"moderate risk")</f>
        <v>low risk</v>
      </c>
      <c r="M64" cm="1">
        <f t="array" ref="M64">_xlfn.IFS(L64="low risk",1,L64="moderate risk",2,L64="high risk",3)</f>
        <v>1</v>
      </c>
    </row>
    <row r="65" spans="1:13" ht="18" customHeight="1" x14ac:dyDescent="0.35">
      <c r="A65" s="7" t="s">
        <v>67</v>
      </c>
      <c r="B65" s="14">
        <v>326</v>
      </c>
      <c r="C65" s="14">
        <v>8</v>
      </c>
      <c r="D65" s="14">
        <v>66</v>
      </c>
      <c r="E65" s="14">
        <v>252</v>
      </c>
      <c r="F65" s="14">
        <v>2422754</v>
      </c>
      <c r="G65" s="7" t="s">
        <v>197</v>
      </c>
      <c r="H65" s="15">
        <v>43907</v>
      </c>
      <c r="I65">
        <f t="shared" si="0"/>
        <v>2.4539877300613497</v>
      </c>
      <c r="J65">
        <f t="shared" si="1"/>
        <v>20.245398773006134</v>
      </c>
      <c r="K65">
        <f t="shared" si="2"/>
        <v>1.345576150116768E-2</v>
      </c>
      <c r="L65" t="str" cm="1">
        <f t="array" ref="L65">_xlfn.IFS(I65&gt;5,"high risk",I65&lt;2,"low risk",AND(I65&lt;=5,I65&gt;=2),"moderate risk")</f>
        <v>moderate risk</v>
      </c>
      <c r="M65" cm="1">
        <f t="array" ref="M65">_xlfn.IFS(L65="low risk",1,L65="moderate risk",2,L65="high risk",3)</f>
        <v>2</v>
      </c>
    </row>
    <row r="66" spans="1:13" ht="18" customHeight="1" x14ac:dyDescent="0.35">
      <c r="A66" s="6" t="s">
        <v>68</v>
      </c>
      <c r="B66" s="12">
        <v>1137</v>
      </c>
      <c r="C66" s="12">
        <v>16</v>
      </c>
      <c r="D66" s="12">
        <v>922</v>
      </c>
      <c r="E66" s="12">
        <v>199</v>
      </c>
      <c r="F66" s="12">
        <v>3988368</v>
      </c>
      <c r="G66" s="6" t="s">
        <v>195</v>
      </c>
      <c r="H66" s="13">
        <v>43887</v>
      </c>
      <c r="I66">
        <f t="shared" si="0"/>
        <v>1.4072119613016711</v>
      </c>
      <c r="J66">
        <f t="shared" si="1"/>
        <v>81.090589270008792</v>
      </c>
      <c r="K66">
        <f t="shared" si="2"/>
        <v>2.8507900976038319E-2</v>
      </c>
      <c r="L66" t="str" cm="1">
        <f t="array" ref="L66">_xlfn.IFS(I66&gt;5,"high risk",I66&lt;2,"low risk",AND(I66&lt;=5,I66&gt;=2),"moderate risk")</f>
        <v>low risk</v>
      </c>
      <c r="M66" cm="1">
        <f t="array" ref="M66">_xlfn.IFS(L66="low risk",1,L66="moderate risk",2,L66="high risk",3)</f>
        <v>1</v>
      </c>
    </row>
    <row r="67" spans="1:13" ht="18" customHeight="1" x14ac:dyDescent="0.35">
      <c r="A67" s="7" t="s">
        <v>69</v>
      </c>
      <c r="B67" s="14">
        <v>207112</v>
      </c>
      <c r="C67" s="14">
        <v>9125</v>
      </c>
      <c r="D67" s="14">
        <v>190314</v>
      </c>
      <c r="E67" s="14">
        <v>7673</v>
      </c>
      <c r="F67" s="14">
        <v>83811260</v>
      </c>
      <c r="G67" s="7" t="s">
        <v>196</v>
      </c>
      <c r="H67" s="15">
        <v>43857</v>
      </c>
      <c r="I67">
        <f t="shared" ref="I67:I130" si="3">(C67/B67)*100</f>
        <v>4.4058287303487962</v>
      </c>
      <c r="J67">
        <f t="shared" ref="J67:J130" si="4">(D67/B67)*100</f>
        <v>91.889412491791873</v>
      </c>
      <c r="K67">
        <f t="shared" ref="K67:K130" si="5">(B67/F67)*100</f>
        <v>0.24711715347078664</v>
      </c>
      <c r="L67" t="str" cm="1">
        <f t="array" ref="L67">_xlfn.IFS(I67&gt;5,"high risk",I67&lt;2,"low risk",AND(I67&lt;=5,I67&gt;=2),"moderate risk")</f>
        <v>moderate risk</v>
      </c>
      <c r="M67" cm="1">
        <f t="array" ref="M67">_xlfn.IFS(L67="low risk",1,L67="moderate risk",2,L67="high risk",3)</f>
        <v>2</v>
      </c>
    </row>
    <row r="68" spans="1:13" ht="18" customHeight="1" x14ac:dyDescent="0.35">
      <c r="A68" s="6" t="s">
        <v>70</v>
      </c>
      <c r="B68" s="12">
        <v>33624</v>
      </c>
      <c r="C68" s="12">
        <v>168</v>
      </c>
      <c r="D68" s="12">
        <v>29801</v>
      </c>
      <c r="E68" s="12">
        <v>3655</v>
      </c>
      <c r="F68" s="12">
        <v>31133483</v>
      </c>
      <c r="G68" s="6" t="s">
        <v>197</v>
      </c>
      <c r="H68" s="13">
        <v>43902</v>
      </c>
      <c r="I68">
        <f t="shared" si="3"/>
        <v>0.49964311206281231</v>
      </c>
      <c r="J68">
        <f t="shared" si="4"/>
        <v>88.630145134427778</v>
      </c>
      <c r="K68">
        <f t="shared" si="5"/>
        <v>0.10799948081620037</v>
      </c>
      <c r="L68" t="str" cm="1">
        <f t="array" ref="L68">_xlfn.IFS(I68&gt;5,"high risk",I68&lt;2,"low risk",AND(I68&lt;=5,I68&gt;=2),"moderate risk")</f>
        <v>low risk</v>
      </c>
      <c r="M68" cm="1">
        <f t="array" ref="M68">_xlfn.IFS(L68="low risk",1,L68="moderate risk",2,L68="high risk",3)</f>
        <v>1</v>
      </c>
    </row>
    <row r="69" spans="1:13" ht="18" customHeight="1" x14ac:dyDescent="0.35">
      <c r="A69" s="7" t="s">
        <v>71</v>
      </c>
      <c r="B69" s="14">
        <v>4227</v>
      </c>
      <c r="C69" s="14">
        <v>202</v>
      </c>
      <c r="D69" s="14">
        <v>1374</v>
      </c>
      <c r="E69" s="14">
        <v>2651</v>
      </c>
      <c r="F69" s="14">
        <v>10417673</v>
      </c>
      <c r="G69" s="7" t="s">
        <v>196</v>
      </c>
      <c r="H69" s="15">
        <v>43887</v>
      </c>
      <c r="I69">
        <f t="shared" si="3"/>
        <v>4.7788029335225923</v>
      </c>
      <c r="J69">
        <f t="shared" si="4"/>
        <v>32.505322924059612</v>
      </c>
      <c r="K69">
        <f t="shared" si="5"/>
        <v>4.0575280103339779E-2</v>
      </c>
      <c r="L69" t="str" cm="1">
        <f t="array" ref="L69">_xlfn.IFS(I69&gt;5,"high risk",I69&lt;2,"low risk",AND(I69&lt;=5,I69&gt;=2),"moderate risk")</f>
        <v>moderate risk</v>
      </c>
      <c r="M69" cm="1">
        <f t="array" ref="M69">_xlfn.IFS(L69="low risk",1,L69="moderate risk",2,L69="high risk",3)</f>
        <v>2</v>
      </c>
    </row>
    <row r="70" spans="1:13" ht="18" customHeight="1" x14ac:dyDescent="0.35">
      <c r="A70" s="6" t="s">
        <v>72</v>
      </c>
      <c r="B70" s="12">
        <v>14</v>
      </c>
      <c r="C70" s="12">
        <v>0</v>
      </c>
      <c r="D70" s="12">
        <v>13</v>
      </c>
      <c r="E70" s="12">
        <v>1</v>
      </c>
      <c r="F70" s="12">
        <v>56780</v>
      </c>
      <c r="G70" s="6" t="s">
        <v>198</v>
      </c>
      <c r="H70" s="13">
        <v>43898</v>
      </c>
      <c r="I70">
        <f t="shared" si="3"/>
        <v>0</v>
      </c>
      <c r="J70">
        <f t="shared" si="4"/>
        <v>92.857142857142861</v>
      </c>
      <c r="K70">
        <f t="shared" si="5"/>
        <v>2.4656569214512151E-2</v>
      </c>
      <c r="L70" t="str" cm="1">
        <f t="array" ref="L70">_xlfn.IFS(I70&gt;5,"high risk",I70&lt;2,"low risk",AND(I70&lt;=5,I70&gt;=2),"moderate risk")</f>
        <v>low risk</v>
      </c>
      <c r="M70" cm="1">
        <f t="array" ref="M70">_xlfn.IFS(L70="low risk",1,L70="moderate risk",2,L70="high risk",3)</f>
        <v>1</v>
      </c>
    </row>
    <row r="71" spans="1:13" ht="18" customHeight="1" x14ac:dyDescent="0.35">
      <c r="A71" s="7" t="s">
        <v>73</v>
      </c>
      <c r="B71" s="14">
        <v>23</v>
      </c>
      <c r="C71" s="14">
        <v>0</v>
      </c>
      <c r="D71" s="14">
        <v>23</v>
      </c>
      <c r="E71" s="14">
        <v>0</v>
      </c>
      <c r="F71" s="14">
        <v>112576</v>
      </c>
      <c r="G71" s="7" t="s">
        <v>198</v>
      </c>
      <c r="H71" s="15">
        <v>43912</v>
      </c>
      <c r="I71">
        <f t="shared" si="3"/>
        <v>0</v>
      </c>
      <c r="J71">
        <f t="shared" si="4"/>
        <v>100</v>
      </c>
      <c r="K71">
        <f t="shared" si="5"/>
        <v>2.0430642410460487E-2</v>
      </c>
      <c r="L71" t="str" cm="1">
        <f t="array" ref="L71">_xlfn.IFS(I71&gt;5,"high risk",I71&lt;2,"low risk",AND(I71&lt;=5,I71&gt;=2),"moderate risk")</f>
        <v>low risk</v>
      </c>
      <c r="M71" cm="1">
        <f t="array" ref="M71">_xlfn.IFS(L71="low risk",1,L71="moderate risk",2,L71="high risk",3)</f>
        <v>1</v>
      </c>
    </row>
    <row r="72" spans="1:13" ht="18" customHeight="1" x14ac:dyDescent="0.35">
      <c r="A72" s="6" t="s">
        <v>74</v>
      </c>
      <c r="B72" s="12">
        <v>45309</v>
      </c>
      <c r="C72" s="12">
        <v>1761</v>
      </c>
      <c r="D72" s="12">
        <v>32455</v>
      </c>
      <c r="E72" s="12">
        <v>11093</v>
      </c>
      <c r="F72" s="12">
        <v>17946899</v>
      </c>
      <c r="G72" s="6" t="s">
        <v>198</v>
      </c>
      <c r="H72" s="13">
        <v>43903</v>
      </c>
      <c r="I72">
        <f t="shared" si="3"/>
        <v>3.8866450374097861</v>
      </c>
      <c r="J72">
        <f t="shared" si="4"/>
        <v>71.630360414045782</v>
      </c>
      <c r="K72">
        <f t="shared" si="5"/>
        <v>0.2524614419460432</v>
      </c>
      <c r="L72" t="str" cm="1">
        <f t="array" ref="L72">_xlfn.IFS(I72&gt;5,"high risk",I72&lt;2,"low risk",AND(I72&lt;=5,I72&gt;=2),"moderate risk")</f>
        <v>moderate risk</v>
      </c>
      <c r="M72" cm="1">
        <f t="array" ref="M72">_xlfn.IFS(L72="low risk",1,L72="moderate risk",2,L72="high risk",3)</f>
        <v>2</v>
      </c>
    </row>
    <row r="73" spans="1:13" ht="18" customHeight="1" x14ac:dyDescent="0.35">
      <c r="A73" s="7" t="s">
        <v>75</v>
      </c>
      <c r="B73" s="14">
        <v>7055</v>
      </c>
      <c r="C73" s="14">
        <v>45</v>
      </c>
      <c r="D73" s="14">
        <v>6257</v>
      </c>
      <c r="E73" s="14">
        <v>753</v>
      </c>
      <c r="F73" s="14">
        <v>13164905</v>
      </c>
      <c r="G73" s="7" t="s">
        <v>197</v>
      </c>
      <c r="H73" s="15">
        <v>43903</v>
      </c>
      <c r="I73">
        <f t="shared" si="3"/>
        <v>0.6378454996456413</v>
      </c>
      <c r="J73">
        <f t="shared" si="4"/>
        <v>88.6888731396173</v>
      </c>
      <c r="K73">
        <f t="shared" si="5"/>
        <v>5.358944861356766E-2</v>
      </c>
      <c r="L73" t="str" cm="1">
        <f t="array" ref="L73">_xlfn.IFS(I73&gt;5,"high risk",I73&lt;2,"low risk",AND(I73&lt;=5,I73&gt;=2),"moderate risk")</f>
        <v>low risk</v>
      </c>
      <c r="M73" cm="1">
        <f t="array" ref="M73">_xlfn.IFS(L73="low risk",1,L73="moderate risk",2,L73="high risk",3)</f>
        <v>1</v>
      </c>
    </row>
    <row r="74" spans="1:13" ht="18" customHeight="1" x14ac:dyDescent="0.35">
      <c r="A74" s="6" t="s">
        <v>76</v>
      </c>
      <c r="B74" s="12">
        <v>1954</v>
      </c>
      <c r="C74" s="12">
        <v>26</v>
      </c>
      <c r="D74" s="12">
        <v>803</v>
      </c>
      <c r="E74" s="12">
        <v>1125</v>
      </c>
      <c r="F74" s="12">
        <v>1972277</v>
      </c>
      <c r="G74" s="6" t="s">
        <v>197</v>
      </c>
      <c r="H74" s="13">
        <v>43915</v>
      </c>
      <c r="I74">
        <f t="shared" si="3"/>
        <v>1.3306038894575232</v>
      </c>
      <c r="J74">
        <f t="shared" si="4"/>
        <v>41.095189355168884</v>
      </c>
      <c r="K74">
        <f t="shared" si="5"/>
        <v>9.9073304611877536E-2</v>
      </c>
      <c r="L74" t="str" cm="1">
        <f t="array" ref="L74">_xlfn.IFS(I74&gt;5,"high risk",I74&lt;2,"low risk",AND(I74&lt;=5,I74&gt;=2),"moderate risk")</f>
        <v>low risk</v>
      </c>
      <c r="M74" cm="1">
        <f t="array" ref="M74">_xlfn.IFS(L74="low risk",1,L74="moderate risk",2,L74="high risk",3)</f>
        <v>1</v>
      </c>
    </row>
    <row r="75" spans="1:13" ht="18" customHeight="1" x14ac:dyDescent="0.35">
      <c r="A75" s="7" t="s">
        <v>77</v>
      </c>
      <c r="B75" s="14">
        <v>389</v>
      </c>
      <c r="C75" s="14">
        <v>20</v>
      </c>
      <c r="D75" s="14">
        <v>181</v>
      </c>
      <c r="E75" s="14">
        <v>188</v>
      </c>
      <c r="F75" s="14">
        <v>786936</v>
      </c>
      <c r="G75" s="7" t="s">
        <v>199</v>
      </c>
      <c r="H75" s="15">
        <v>43902</v>
      </c>
      <c r="I75">
        <f t="shared" si="3"/>
        <v>5.1413881748071981</v>
      </c>
      <c r="J75">
        <f t="shared" si="4"/>
        <v>46.529562982005139</v>
      </c>
      <c r="K75">
        <f t="shared" si="5"/>
        <v>4.9432228287942089E-2</v>
      </c>
      <c r="L75" t="str" cm="1">
        <f t="array" ref="L75">_xlfn.IFS(I75&gt;5,"high risk",I75&lt;2,"low risk",AND(I75&lt;=5,I75&gt;=2),"moderate risk")</f>
        <v>high risk</v>
      </c>
      <c r="M75" cm="1">
        <f t="array" ref="M75">_xlfn.IFS(L75="low risk",1,L75="moderate risk",2,L75="high risk",3)</f>
        <v>3</v>
      </c>
    </row>
    <row r="76" spans="1:13" ht="18" customHeight="1" x14ac:dyDescent="0.35">
      <c r="A76" s="6" t="s">
        <v>78</v>
      </c>
      <c r="B76" s="12">
        <v>7340</v>
      </c>
      <c r="C76" s="12">
        <v>158</v>
      </c>
      <c r="D76" s="12">
        <v>4365</v>
      </c>
      <c r="E76" s="12">
        <v>2817</v>
      </c>
      <c r="F76" s="12">
        <v>11416103</v>
      </c>
      <c r="G76" s="6" t="s">
        <v>198</v>
      </c>
      <c r="H76" s="13">
        <v>43909</v>
      </c>
      <c r="I76">
        <f t="shared" si="3"/>
        <v>2.1525885558583107</v>
      </c>
      <c r="J76">
        <f t="shared" si="4"/>
        <v>59.468664850136243</v>
      </c>
      <c r="K76">
        <f t="shared" si="5"/>
        <v>6.4295145199723583E-2</v>
      </c>
      <c r="L76" t="str" cm="1">
        <f t="array" ref="L76">_xlfn.IFS(I76&gt;5,"high risk",I76&lt;2,"low risk",AND(I76&lt;=5,I76&gt;=2),"moderate risk")</f>
        <v>moderate risk</v>
      </c>
      <c r="M76" cm="1">
        <f t="array" ref="M76">_xlfn.IFS(L76="low risk",1,L76="moderate risk",2,L76="high risk",3)</f>
        <v>2</v>
      </c>
    </row>
    <row r="77" spans="1:13" ht="18" customHeight="1" x14ac:dyDescent="0.35">
      <c r="A77" s="7" t="s">
        <v>79</v>
      </c>
      <c r="B77" s="14">
        <v>12</v>
      </c>
      <c r="C77" s="14">
        <v>0</v>
      </c>
      <c r="D77" s="14">
        <v>12</v>
      </c>
      <c r="E77" s="14">
        <v>0</v>
      </c>
      <c r="F77" s="17">
        <v>528</v>
      </c>
      <c r="G77" s="7" t="s">
        <v>196</v>
      </c>
      <c r="H77" s="15">
        <v>43912</v>
      </c>
      <c r="I77">
        <f t="shared" si="3"/>
        <v>0</v>
      </c>
      <c r="J77">
        <f t="shared" si="4"/>
        <v>100</v>
      </c>
      <c r="K77">
        <f t="shared" si="5"/>
        <v>2.2727272727272729</v>
      </c>
      <c r="L77" t="str" cm="1">
        <f t="array" ref="L77">_xlfn.IFS(I77&gt;5,"high risk",I77&lt;2,"low risk",AND(I77&lt;=5,I77&gt;=2),"moderate risk")</f>
        <v>low risk</v>
      </c>
      <c r="M77" cm="1">
        <f t="array" ref="M77">_xlfn.IFS(L77="low risk",1,L77="moderate risk",2,L77="high risk",3)</f>
        <v>1</v>
      </c>
    </row>
    <row r="78" spans="1:13" ht="18" customHeight="1" x14ac:dyDescent="0.35">
      <c r="A78" s="6" t="s">
        <v>80</v>
      </c>
      <c r="B78" s="12">
        <v>39741</v>
      </c>
      <c r="C78" s="12">
        <v>1166</v>
      </c>
      <c r="D78" s="12">
        <v>5039</v>
      </c>
      <c r="E78" s="12">
        <v>33536</v>
      </c>
      <c r="F78" s="16">
        <v>10012084</v>
      </c>
      <c r="G78" s="6" t="s">
        <v>198</v>
      </c>
      <c r="H78" s="13">
        <v>43907</v>
      </c>
      <c r="I78">
        <f t="shared" si="3"/>
        <v>2.9339976346845829</v>
      </c>
      <c r="J78">
        <f t="shared" si="4"/>
        <v>12.679600412672052</v>
      </c>
      <c r="K78">
        <f t="shared" si="5"/>
        <v>0.39693034936582633</v>
      </c>
      <c r="L78" t="str" cm="1">
        <f t="array" ref="L78">_xlfn.IFS(I78&gt;5,"high risk",I78&lt;2,"low risk",AND(I78&lt;=5,I78&gt;=2),"moderate risk")</f>
        <v>moderate risk</v>
      </c>
      <c r="M78" cm="1">
        <f t="array" ref="M78">_xlfn.IFS(L78="low risk",1,L78="moderate risk",2,L78="high risk",3)</f>
        <v>2</v>
      </c>
    </row>
    <row r="79" spans="1:13" ht="18" customHeight="1" x14ac:dyDescent="0.35">
      <c r="A79" s="7" t="s">
        <v>81</v>
      </c>
      <c r="B79" s="14">
        <v>4448</v>
      </c>
      <c r="C79" s="14">
        <v>596</v>
      </c>
      <c r="D79" s="14">
        <v>3329</v>
      </c>
      <c r="E79" s="14">
        <v>523</v>
      </c>
      <c r="F79" s="14">
        <v>9657785</v>
      </c>
      <c r="G79" s="7" t="s">
        <v>196</v>
      </c>
      <c r="H79" s="15">
        <v>43894</v>
      </c>
      <c r="I79">
        <f t="shared" si="3"/>
        <v>13.399280575539569</v>
      </c>
      <c r="J79">
        <f t="shared" si="4"/>
        <v>74.842625899280577</v>
      </c>
      <c r="K79">
        <f t="shared" si="5"/>
        <v>4.6056109138896753E-2</v>
      </c>
      <c r="L79" t="str" cm="1">
        <f t="array" ref="L79">_xlfn.IFS(I79&gt;5,"high risk",I79&lt;2,"low risk",AND(I79&lt;=5,I79&gt;=2),"moderate risk")</f>
        <v>high risk</v>
      </c>
      <c r="M79" cm="1">
        <f t="array" ref="M79">_xlfn.IFS(L79="low risk",1,L79="moderate risk",2,L79="high risk",3)</f>
        <v>3</v>
      </c>
    </row>
    <row r="80" spans="1:13" ht="18" customHeight="1" x14ac:dyDescent="0.35">
      <c r="A80" s="6" t="s">
        <v>82</v>
      </c>
      <c r="B80" s="12">
        <v>1854</v>
      </c>
      <c r="C80" s="12">
        <v>10</v>
      </c>
      <c r="D80" s="12">
        <v>1823</v>
      </c>
      <c r="E80" s="12">
        <v>21</v>
      </c>
      <c r="F80" s="12">
        <v>341465</v>
      </c>
      <c r="G80" s="6" t="s">
        <v>196</v>
      </c>
      <c r="H80" s="13">
        <v>43889</v>
      </c>
      <c r="I80">
        <f t="shared" si="3"/>
        <v>0.53937432578209277</v>
      </c>
      <c r="J80">
        <f t="shared" si="4"/>
        <v>98.327939590075502</v>
      </c>
      <c r="K80">
        <f t="shared" si="5"/>
        <v>0.54295462199639788</v>
      </c>
      <c r="L80" t="str" cm="1">
        <f t="array" ref="L80">_xlfn.IFS(I80&gt;5,"high risk",I80&lt;2,"low risk",AND(I80&lt;=5,I80&gt;=2),"moderate risk")</f>
        <v>low risk</v>
      </c>
      <c r="M80" cm="1">
        <f t="array" ref="M80">_xlfn.IFS(L80="low risk",1,L80="moderate risk",2,L80="high risk",3)</f>
        <v>1</v>
      </c>
    </row>
    <row r="81" spans="1:13" ht="18" customHeight="1" x14ac:dyDescent="0.35">
      <c r="A81" s="7" t="s">
        <v>83</v>
      </c>
      <c r="B81" s="14">
        <v>1480073</v>
      </c>
      <c r="C81" s="14">
        <v>33408</v>
      </c>
      <c r="D81" s="14">
        <v>951166</v>
      </c>
      <c r="E81" s="14">
        <v>495499</v>
      </c>
      <c r="F81" s="14">
        <v>1381344997</v>
      </c>
      <c r="G81" s="7" t="s">
        <v>195</v>
      </c>
      <c r="H81" s="15">
        <v>43860</v>
      </c>
      <c r="I81">
        <f t="shared" si="3"/>
        <v>2.2571859631247917</v>
      </c>
      <c r="J81">
        <f t="shared" si="4"/>
        <v>64.264803154979518</v>
      </c>
      <c r="K81">
        <f t="shared" si="5"/>
        <v>0.10714723716482247</v>
      </c>
      <c r="L81" t="str" cm="1">
        <f t="array" ref="L81">_xlfn.IFS(I81&gt;5,"high risk",I81&lt;2,"low risk",AND(I81&lt;=5,I81&gt;=2),"moderate risk")</f>
        <v>moderate risk</v>
      </c>
      <c r="M81" cm="1">
        <f t="array" ref="M81">_xlfn.IFS(L81="low risk",1,L81="moderate risk",2,L81="high risk",3)</f>
        <v>2</v>
      </c>
    </row>
    <row r="82" spans="1:13" ht="18" customHeight="1" x14ac:dyDescent="0.35">
      <c r="A82" s="6" t="s">
        <v>84</v>
      </c>
      <c r="B82" s="12">
        <v>100303</v>
      </c>
      <c r="C82" s="12">
        <v>4838</v>
      </c>
      <c r="D82" s="12">
        <v>58173</v>
      </c>
      <c r="E82" s="12">
        <v>37292</v>
      </c>
      <c r="F82" s="12">
        <v>273808365</v>
      </c>
      <c r="G82" s="6" t="s">
        <v>195</v>
      </c>
      <c r="H82" s="13">
        <v>43892</v>
      </c>
      <c r="I82">
        <f t="shared" si="3"/>
        <v>4.8233851430166599</v>
      </c>
      <c r="J82">
        <f t="shared" si="4"/>
        <v>57.997268277120327</v>
      </c>
      <c r="K82">
        <f t="shared" si="5"/>
        <v>3.6632555035343788E-2</v>
      </c>
      <c r="L82" t="str" cm="1">
        <f t="array" ref="L82">_xlfn.IFS(I82&gt;5,"high risk",I82&lt;2,"low risk",AND(I82&lt;=5,I82&gt;=2),"moderate risk")</f>
        <v>moderate risk</v>
      </c>
      <c r="M82" cm="1">
        <f t="array" ref="M82">_xlfn.IFS(L82="low risk",1,L82="moderate risk",2,L82="high risk",3)</f>
        <v>2</v>
      </c>
    </row>
    <row r="83" spans="1:13" ht="18" customHeight="1" x14ac:dyDescent="0.35">
      <c r="A83" s="7" t="s">
        <v>85</v>
      </c>
      <c r="B83" s="14">
        <v>293606</v>
      </c>
      <c r="C83" s="14">
        <v>15912</v>
      </c>
      <c r="D83" s="14">
        <v>255144</v>
      </c>
      <c r="E83" s="14">
        <v>22550</v>
      </c>
      <c r="F83" s="14">
        <v>84097623</v>
      </c>
      <c r="G83" s="7" t="s">
        <v>195</v>
      </c>
      <c r="H83" s="15">
        <v>43880</v>
      </c>
      <c r="I83">
        <f t="shared" si="3"/>
        <v>5.4195077757266539</v>
      </c>
      <c r="J83">
        <f t="shared" si="4"/>
        <v>86.900131468702952</v>
      </c>
      <c r="K83">
        <f t="shared" si="5"/>
        <v>0.34912520654715773</v>
      </c>
      <c r="L83" t="str" cm="1">
        <f t="array" ref="L83">_xlfn.IFS(I83&gt;5,"high risk",I83&lt;2,"low risk",AND(I83&lt;=5,I83&gt;=2),"moderate risk")</f>
        <v>high risk</v>
      </c>
      <c r="M83" cm="1">
        <f t="array" ref="M83">_xlfn.IFS(L83="low risk",1,L83="moderate risk",2,L83="high risk",3)</f>
        <v>3</v>
      </c>
    </row>
    <row r="84" spans="1:13" ht="18" customHeight="1" x14ac:dyDescent="0.35">
      <c r="A84" s="6" t="s">
        <v>86</v>
      </c>
      <c r="B84" s="12">
        <v>112585</v>
      </c>
      <c r="C84" s="12">
        <v>4458</v>
      </c>
      <c r="D84" s="12">
        <v>77144</v>
      </c>
      <c r="E84" s="12">
        <v>30983</v>
      </c>
      <c r="F84" s="12">
        <v>40306025</v>
      </c>
      <c r="G84" s="6" t="s">
        <v>195</v>
      </c>
      <c r="H84" s="13">
        <v>43883</v>
      </c>
      <c r="I84">
        <f t="shared" si="3"/>
        <v>3.9596749122884933</v>
      </c>
      <c r="J84">
        <f t="shared" si="4"/>
        <v>68.520673269085577</v>
      </c>
      <c r="K84">
        <f t="shared" si="5"/>
        <v>0.27932548545781927</v>
      </c>
      <c r="L84" t="str" cm="1">
        <f t="array" ref="L84">_xlfn.IFS(I84&gt;5,"high risk",I84&lt;2,"low risk",AND(I84&lt;=5,I84&gt;=2),"moderate risk")</f>
        <v>moderate risk</v>
      </c>
      <c r="M84" cm="1">
        <f t="array" ref="M84">_xlfn.IFS(L84="low risk",1,L84="moderate risk",2,L84="high risk",3)</f>
        <v>2</v>
      </c>
    </row>
    <row r="85" spans="1:13" ht="18" customHeight="1" x14ac:dyDescent="0.35">
      <c r="A85" s="7" t="s">
        <v>87</v>
      </c>
      <c r="B85" s="14">
        <v>25892</v>
      </c>
      <c r="C85" s="14">
        <v>1764</v>
      </c>
      <c r="D85" s="14">
        <v>23364</v>
      </c>
      <c r="E85" s="14">
        <v>764</v>
      </c>
      <c r="F85" s="14">
        <v>4943200</v>
      </c>
      <c r="G85" s="7" t="s">
        <v>196</v>
      </c>
      <c r="H85" s="15">
        <v>43890</v>
      </c>
      <c r="I85">
        <f t="shared" si="3"/>
        <v>6.8129151861578858</v>
      </c>
      <c r="J85">
        <f t="shared" si="4"/>
        <v>90.236366445234054</v>
      </c>
      <c r="K85">
        <f t="shared" si="5"/>
        <v>0.5237902573231914</v>
      </c>
      <c r="L85" t="str" cm="1">
        <f t="array" ref="L85">_xlfn.IFS(I85&gt;5,"high risk",I85&lt;2,"low risk",AND(I85&lt;=5,I85&gt;=2),"moderate risk")</f>
        <v>high risk</v>
      </c>
      <c r="M85" cm="1">
        <f t="array" ref="M85">_xlfn.IFS(L85="low risk",1,L85="moderate risk",2,L85="high risk",3)</f>
        <v>3</v>
      </c>
    </row>
    <row r="86" spans="1:13" ht="18" customHeight="1" x14ac:dyDescent="0.35">
      <c r="A86" s="6" t="s">
        <v>88</v>
      </c>
      <c r="B86" s="12">
        <v>63985</v>
      </c>
      <c r="C86" s="12">
        <v>474</v>
      </c>
      <c r="D86" s="12">
        <v>27133</v>
      </c>
      <c r="E86" s="12">
        <v>36378</v>
      </c>
      <c r="F86" s="12">
        <v>9197590</v>
      </c>
      <c r="G86" s="6" t="s">
        <v>195</v>
      </c>
      <c r="H86" s="13">
        <v>43882</v>
      </c>
      <c r="I86">
        <f t="shared" si="3"/>
        <v>0.74079862467765878</v>
      </c>
      <c r="J86">
        <f t="shared" si="4"/>
        <v>42.405251230757209</v>
      </c>
      <c r="K86">
        <f t="shared" si="5"/>
        <v>0.69567136608611602</v>
      </c>
      <c r="L86" t="str" cm="1">
        <f t="array" ref="L86">_xlfn.IFS(I86&gt;5,"high risk",I86&lt;2,"low risk",AND(I86&lt;=5,I86&gt;=2),"moderate risk")</f>
        <v>low risk</v>
      </c>
      <c r="M86" cm="1">
        <f t="array" ref="M86">_xlfn.IFS(L86="low risk",1,L86="moderate risk",2,L86="high risk",3)</f>
        <v>1</v>
      </c>
    </row>
    <row r="87" spans="1:13" ht="18" customHeight="1" x14ac:dyDescent="0.35">
      <c r="A87" s="7" t="s">
        <v>89</v>
      </c>
      <c r="B87" s="14">
        <v>246286</v>
      </c>
      <c r="C87" s="14">
        <v>35112</v>
      </c>
      <c r="D87" s="14">
        <v>198593</v>
      </c>
      <c r="E87" s="14">
        <v>12581</v>
      </c>
      <c r="F87" s="14">
        <v>60452568</v>
      </c>
      <c r="G87" s="7" t="s">
        <v>196</v>
      </c>
      <c r="H87" s="15">
        <v>43861</v>
      </c>
      <c r="I87">
        <f t="shared" si="3"/>
        <v>14.256595990027854</v>
      </c>
      <c r="J87">
        <f t="shared" si="4"/>
        <v>80.635115272488079</v>
      </c>
      <c r="K87">
        <f t="shared" si="5"/>
        <v>0.40740370202304726</v>
      </c>
      <c r="L87" t="str" cm="1">
        <f t="array" ref="L87">_xlfn.IFS(I87&gt;5,"high risk",I87&lt;2,"low risk",AND(I87&lt;=5,I87&gt;=2),"moderate risk")</f>
        <v>high risk</v>
      </c>
      <c r="M87" cm="1">
        <f t="array" ref="M87">_xlfn.IFS(L87="low risk",1,L87="moderate risk",2,L87="high risk",3)</f>
        <v>3</v>
      </c>
    </row>
    <row r="88" spans="1:13" ht="18" customHeight="1" x14ac:dyDescent="0.35">
      <c r="A88" s="6" t="s">
        <v>90</v>
      </c>
      <c r="B88" s="12">
        <v>853</v>
      </c>
      <c r="C88" s="12">
        <v>10</v>
      </c>
      <c r="D88" s="12">
        <v>714</v>
      </c>
      <c r="E88" s="12">
        <v>129</v>
      </c>
      <c r="F88" s="12">
        <v>2962478</v>
      </c>
      <c r="G88" s="6" t="s">
        <v>198</v>
      </c>
      <c r="H88" s="13">
        <v>43900</v>
      </c>
      <c r="I88">
        <f t="shared" si="3"/>
        <v>1.1723329425556859</v>
      </c>
      <c r="J88">
        <f t="shared" si="4"/>
        <v>83.704572098475978</v>
      </c>
      <c r="K88">
        <f t="shared" si="5"/>
        <v>2.8793462770018881E-2</v>
      </c>
      <c r="L88" t="str" cm="1">
        <f t="array" ref="L88">_xlfn.IFS(I88&gt;5,"high risk",I88&lt;2,"low risk",AND(I88&lt;=5,I88&gt;=2),"moderate risk")</f>
        <v>low risk</v>
      </c>
      <c r="M88" cm="1">
        <f t="array" ref="M88">_xlfn.IFS(L88="low risk",1,L88="moderate risk",2,L88="high risk",3)</f>
        <v>1</v>
      </c>
    </row>
    <row r="89" spans="1:13" ht="18" customHeight="1" x14ac:dyDescent="0.35">
      <c r="A89" s="7" t="s">
        <v>91</v>
      </c>
      <c r="B89" s="14">
        <v>31142</v>
      </c>
      <c r="C89" s="14">
        <v>998</v>
      </c>
      <c r="D89" s="14">
        <v>21970</v>
      </c>
      <c r="E89" s="14">
        <v>8174</v>
      </c>
      <c r="F89" s="14">
        <v>126435859</v>
      </c>
      <c r="G89" s="7" t="s">
        <v>195</v>
      </c>
      <c r="H89" s="15">
        <v>43846</v>
      </c>
      <c r="I89">
        <f t="shared" si="3"/>
        <v>3.2046753580373775</v>
      </c>
      <c r="J89">
        <f t="shared" si="4"/>
        <v>70.547813242566306</v>
      </c>
      <c r="K89">
        <f t="shared" si="5"/>
        <v>2.4630670639094562E-2</v>
      </c>
      <c r="L89" t="str" cm="1">
        <f t="array" ref="L89">_xlfn.IFS(I89&gt;5,"high risk",I89&lt;2,"low risk",AND(I89&lt;=5,I89&gt;=2),"moderate risk")</f>
        <v>moderate risk</v>
      </c>
      <c r="M89" cm="1">
        <f t="array" ref="M89">_xlfn.IFS(L89="low risk",1,L89="moderate risk",2,L89="high risk",3)</f>
        <v>2</v>
      </c>
    </row>
    <row r="90" spans="1:13" ht="18" customHeight="1" x14ac:dyDescent="0.35">
      <c r="A90" s="6" t="s">
        <v>92</v>
      </c>
      <c r="B90" s="12">
        <v>1176</v>
      </c>
      <c r="C90" s="12">
        <v>11</v>
      </c>
      <c r="D90" s="12">
        <v>1041</v>
      </c>
      <c r="E90" s="12">
        <v>124</v>
      </c>
      <c r="F90" s="12">
        <v>10213138</v>
      </c>
      <c r="G90" s="6" t="s">
        <v>195</v>
      </c>
      <c r="H90" s="13">
        <v>43892</v>
      </c>
      <c r="I90">
        <f t="shared" si="3"/>
        <v>0.93537414965986398</v>
      </c>
      <c r="J90">
        <f t="shared" si="4"/>
        <v>88.520408163265301</v>
      </c>
      <c r="K90">
        <f t="shared" si="5"/>
        <v>1.1514580533426652E-2</v>
      </c>
      <c r="L90" t="str" cm="1">
        <f t="array" ref="L90">_xlfn.IFS(I90&gt;5,"high risk",I90&lt;2,"low risk",AND(I90&lt;=5,I90&gt;=2),"moderate risk")</f>
        <v>low risk</v>
      </c>
      <c r="M90" cm="1">
        <f t="array" ref="M90">_xlfn.IFS(L90="low risk",1,L90="moderate risk",2,L90="high risk",3)</f>
        <v>1</v>
      </c>
    </row>
    <row r="91" spans="1:13" ht="18" customHeight="1" x14ac:dyDescent="0.35">
      <c r="A91" s="7" t="s">
        <v>93</v>
      </c>
      <c r="B91" s="14">
        <v>84648</v>
      </c>
      <c r="C91" s="14">
        <v>585</v>
      </c>
      <c r="D91" s="14">
        <v>54404</v>
      </c>
      <c r="E91" s="14">
        <v>29659</v>
      </c>
      <c r="F91" s="14">
        <v>18798667</v>
      </c>
      <c r="G91" s="7" t="s">
        <v>195</v>
      </c>
      <c r="H91" s="15">
        <v>43903</v>
      </c>
      <c r="I91">
        <f t="shared" si="3"/>
        <v>0.69109724978735465</v>
      </c>
      <c r="J91">
        <f t="shared" si="4"/>
        <v>64.270862867403835</v>
      </c>
      <c r="K91">
        <f t="shared" si="5"/>
        <v>0.45028724643082407</v>
      </c>
      <c r="L91" t="str" cm="1">
        <f t="array" ref="L91">_xlfn.IFS(I91&gt;5,"high risk",I91&lt;2,"low risk",AND(I91&lt;=5,I91&gt;=2),"moderate risk")</f>
        <v>low risk</v>
      </c>
      <c r="M91" cm="1">
        <f t="array" ref="M91">_xlfn.IFS(L91="low risk",1,L91="moderate risk",2,L91="high risk",3)</f>
        <v>1</v>
      </c>
    </row>
    <row r="92" spans="1:13" ht="18" customHeight="1" x14ac:dyDescent="0.35">
      <c r="A92" s="6" t="s">
        <v>94</v>
      </c>
      <c r="B92" s="12">
        <v>17975</v>
      </c>
      <c r="C92" s="12">
        <v>285</v>
      </c>
      <c r="D92" s="12">
        <v>7833</v>
      </c>
      <c r="E92" s="12">
        <v>9857</v>
      </c>
      <c r="F92" s="12">
        <v>53881160</v>
      </c>
      <c r="G92" s="6" t="s">
        <v>197</v>
      </c>
      <c r="H92" s="13">
        <v>43903</v>
      </c>
      <c r="I92">
        <f t="shared" si="3"/>
        <v>1.5855354659248957</v>
      </c>
      <c r="J92">
        <f t="shared" si="4"/>
        <v>43.577190542420027</v>
      </c>
      <c r="K92">
        <f t="shared" si="5"/>
        <v>3.336045474893265E-2</v>
      </c>
      <c r="L92" t="str" cm="1">
        <f t="array" ref="L92">_xlfn.IFS(I92&gt;5,"high risk",I92&lt;2,"low risk",AND(I92&lt;=5,I92&gt;=2),"moderate risk")</f>
        <v>low risk</v>
      </c>
      <c r="M92" cm="1">
        <f t="array" ref="M92">_xlfn.IFS(L92="low risk",1,L92="moderate risk",2,L92="high risk",3)</f>
        <v>1</v>
      </c>
    </row>
    <row r="93" spans="1:13" ht="18" customHeight="1" x14ac:dyDescent="0.35">
      <c r="A93" s="7" t="s">
        <v>95</v>
      </c>
      <c r="B93" s="14">
        <v>7413</v>
      </c>
      <c r="C93" s="14">
        <v>185</v>
      </c>
      <c r="D93" s="14">
        <v>4027</v>
      </c>
      <c r="E93" s="14">
        <v>3201</v>
      </c>
      <c r="F93" s="18">
        <v>1790152</v>
      </c>
      <c r="G93" s="7" t="s">
        <v>196</v>
      </c>
      <c r="H93" s="15">
        <v>43903</v>
      </c>
      <c r="I93">
        <f t="shared" si="3"/>
        <v>2.4956158100634021</v>
      </c>
      <c r="J93">
        <f t="shared" si="4"/>
        <v>54.323485768244971</v>
      </c>
      <c r="K93">
        <f t="shared" si="5"/>
        <v>0.41409891450558389</v>
      </c>
      <c r="L93" t="str" cm="1">
        <f t="array" ref="L93">_xlfn.IFS(I93&gt;5,"high risk",I93&lt;2,"low risk",AND(I93&lt;=5,I93&gt;=2),"moderate risk")</f>
        <v>moderate risk</v>
      </c>
      <c r="M93" cm="1">
        <f t="array" ref="M93">_xlfn.IFS(L93="low risk",1,L93="moderate risk",2,L93="high risk",3)</f>
        <v>2</v>
      </c>
    </row>
    <row r="94" spans="1:13" ht="18" customHeight="1" x14ac:dyDescent="0.35">
      <c r="A94" s="6" t="s">
        <v>96</v>
      </c>
      <c r="B94" s="12">
        <v>64379</v>
      </c>
      <c r="C94" s="12">
        <v>438</v>
      </c>
      <c r="D94" s="12">
        <v>55057</v>
      </c>
      <c r="E94" s="12">
        <v>8884</v>
      </c>
      <c r="F94" s="12">
        <v>4276658</v>
      </c>
      <c r="G94" s="6" t="s">
        <v>195</v>
      </c>
      <c r="H94" s="13">
        <v>43885</v>
      </c>
      <c r="I94">
        <f t="shared" si="3"/>
        <v>0.68034607558365301</v>
      </c>
      <c r="J94">
        <f t="shared" si="4"/>
        <v>85.520123021482163</v>
      </c>
      <c r="K94">
        <f t="shared" si="5"/>
        <v>1.5053576881761412</v>
      </c>
      <c r="L94" t="str" cm="1">
        <f t="array" ref="L94">_xlfn.IFS(I94&gt;5,"high risk",I94&lt;2,"low risk",AND(I94&lt;=5,I94&gt;=2),"moderate risk")</f>
        <v>low risk</v>
      </c>
      <c r="M94" cm="1">
        <f t="array" ref="M94">_xlfn.IFS(L94="low risk",1,L94="moderate risk",2,L94="high risk",3)</f>
        <v>1</v>
      </c>
    </row>
    <row r="95" spans="1:13" ht="18" customHeight="1" x14ac:dyDescent="0.35">
      <c r="A95" s="7" t="s">
        <v>97</v>
      </c>
      <c r="B95" s="14">
        <v>33296</v>
      </c>
      <c r="C95" s="14">
        <v>1301</v>
      </c>
      <c r="D95" s="14">
        <v>21205</v>
      </c>
      <c r="E95" s="14">
        <v>10790</v>
      </c>
      <c r="F95" s="14">
        <v>6534479</v>
      </c>
      <c r="G95" s="7" t="s">
        <v>195</v>
      </c>
      <c r="H95" s="15">
        <v>43908</v>
      </c>
      <c r="I95">
        <f t="shared" si="3"/>
        <v>3.9073762614127823</v>
      </c>
      <c r="J95">
        <f t="shared" si="4"/>
        <v>63.686328688130715</v>
      </c>
      <c r="K95">
        <f t="shared" si="5"/>
        <v>0.50954330100379841</v>
      </c>
      <c r="L95" t="str" cm="1">
        <f t="array" ref="L95">_xlfn.IFS(I95&gt;5,"high risk",I95&lt;2,"low risk",AND(I95&lt;=5,I95&gt;=2),"moderate risk")</f>
        <v>moderate risk</v>
      </c>
      <c r="M95" cm="1">
        <f t="array" ref="M95">_xlfn.IFS(L95="low risk",1,L95="moderate risk",2,L95="high risk",3)</f>
        <v>2</v>
      </c>
    </row>
    <row r="96" spans="1:13" ht="18" customHeight="1" x14ac:dyDescent="0.35">
      <c r="A96" s="6" t="s">
        <v>98</v>
      </c>
      <c r="B96" s="12">
        <v>20</v>
      </c>
      <c r="C96" s="12">
        <v>0</v>
      </c>
      <c r="D96" s="12">
        <v>19</v>
      </c>
      <c r="E96" s="12">
        <v>1</v>
      </c>
      <c r="F96" s="12">
        <v>7285750</v>
      </c>
      <c r="G96" s="6" t="s">
        <v>195</v>
      </c>
      <c r="H96" s="13">
        <v>43914</v>
      </c>
      <c r="I96">
        <f t="shared" si="3"/>
        <v>0</v>
      </c>
      <c r="J96">
        <f t="shared" si="4"/>
        <v>95</v>
      </c>
      <c r="K96">
        <f t="shared" si="5"/>
        <v>2.7450845829187116E-4</v>
      </c>
      <c r="L96" t="str" cm="1">
        <f t="array" ref="L96">_xlfn.IFS(I96&gt;5,"high risk",I96&lt;2,"low risk",AND(I96&lt;=5,I96&gt;=2),"moderate risk")</f>
        <v>low risk</v>
      </c>
      <c r="M96" cm="1">
        <f t="array" ref="M96">_xlfn.IFS(L96="low risk",1,L96="moderate risk",2,L96="high risk",3)</f>
        <v>1</v>
      </c>
    </row>
    <row r="97" spans="1:19" ht="18" customHeight="1" x14ac:dyDescent="0.35">
      <c r="A97" s="7" t="s">
        <v>99</v>
      </c>
      <c r="B97" s="14">
        <v>1219</v>
      </c>
      <c r="C97" s="14">
        <v>31</v>
      </c>
      <c r="D97" s="14">
        <v>1045</v>
      </c>
      <c r="E97" s="14">
        <v>143</v>
      </c>
      <c r="F97" s="14">
        <v>1883936</v>
      </c>
      <c r="G97" s="7" t="s">
        <v>196</v>
      </c>
      <c r="H97" s="15">
        <v>43892</v>
      </c>
      <c r="I97">
        <f t="shared" si="3"/>
        <v>2.5430680885972108</v>
      </c>
      <c r="J97">
        <f t="shared" si="4"/>
        <v>85.726004922067261</v>
      </c>
      <c r="K97">
        <f t="shared" si="5"/>
        <v>6.47049581302125E-2</v>
      </c>
      <c r="L97" t="str" cm="1">
        <f t="array" ref="L97">_xlfn.IFS(I97&gt;5,"high risk",I97&lt;2,"low risk",AND(I97&lt;=5,I97&gt;=2),"moderate risk")</f>
        <v>moderate risk</v>
      </c>
      <c r="M97" cm="1">
        <f t="array" ref="M97">_xlfn.IFS(L97="low risk",1,L97="moderate risk",2,L97="high risk",3)</f>
        <v>2</v>
      </c>
      <c r="S97" s="1"/>
    </row>
    <row r="98" spans="1:19" ht="18" customHeight="1" x14ac:dyDescent="0.35">
      <c r="A98" s="6" t="s">
        <v>100</v>
      </c>
      <c r="B98" s="12">
        <v>3882</v>
      </c>
      <c r="C98" s="12">
        <v>51</v>
      </c>
      <c r="D98" s="12">
        <v>1709</v>
      </c>
      <c r="E98" s="12">
        <v>2122</v>
      </c>
      <c r="F98" s="12">
        <v>6822220</v>
      </c>
      <c r="G98" s="6" t="s">
        <v>195</v>
      </c>
      <c r="H98" s="13">
        <v>43882</v>
      </c>
      <c r="I98">
        <f t="shared" si="3"/>
        <v>1.313755795981453</v>
      </c>
      <c r="J98">
        <f t="shared" si="4"/>
        <v>44.023699124162803</v>
      </c>
      <c r="K98">
        <f t="shared" si="5"/>
        <v>5.6902298665243864E-2</v>
      </c>
      <c r="L98" t="str" cm="1">
        <f t="array" ref="L98">_xlfn.IFS(I98&gt;5,"high risk",I98&lt;2,"low risk",AND(I98&lt;=5,I98&gt;=2),"moderate risk")</f>
        <v>low risk</v>
      </c>
      <c r="M98" cm="1">
        <f t="array" ref="M98">_xlfn.IFS(L98="low risk",1,L98="moderate risk",2,L98="high risk",3)</f>
        <v>1</v>
      </c>
    </row>
    <row r="99" spans="1:19" ht="18" customHeight="1" x14ac:dyDescent="0.35">
      <c r="A99" s="7" t="s">
        <v>101</v>
      </c>
      <c r="B99" s="14">
        <v>505</v>
      </c>
      <c r="C99" s="14">
        <v>12</v>
      </c>
      <c r="D99" s="14">
        <v>128</v>
      </c>
      <c r="E99" s="14">
        <v>365</v>
      </c>
      <c r="F99" s="14">
        <v>2143943</v>
      </c>
      <c r="G99" s="7" t="s">
        <v>197</v>
      </c>
      <c r="H99" s="15">
        <v>43964</v>
      </c>
      <c r="I99">
        <f t="shared" si="3"/>
        <v>2.3762376237623761</v>
      </c>
      <c r="J99">
        <f t="shared" si="4"/>
        <v>25.346534653465348</v>
      </c>
      <c r="K99">
        <f t="shared" si="5"/>
        <v>2.3554730699463559E-2</v>
      </c>
      <c r="L99" t="str" cm="1">
        <f t="array" ref="L99">_xlfn.IFS(I99&gt;5,"high risk",I99&lt;2,"low risk",AND(I99&lt;=5,I99&gt;=2),"moderate risk")</f>
        <v>moderate risk</v>
      </c>
      <c r="M99" cm="1">
        <f t="array" ref="M99">_xlfn.IFS(L99="low risk",1,L99="moderate risk",2,L99="high risk",3)</f>
        <v>2</v>
      </c>
    </row>
    <row r="100" spans="1:19" ht="18" customHeight="1" x14ac:dyDescent="0.35">
      <c r="A100" s="6" t="s">
        <v>102</v>
      </c>
      <c r="B100" s="12">
        <v>1167</v>
      </c>
      <c r="C100" s="12">
        <v>72</v>
      </c>
      <c r="D100" s="12">
        <v>646</v>
      </c>
      <c r="E100" s="12">
        <v>449</v>
      </c>
      <c r="F100" s="12">
        <v>5068618</v>
      </c>
      <c r="G100" s="6" t="s">
        <v>197</v>
      </c>
      <c r="H100" s="13">
        <v>43906</v>
      </c>
      <c r="I100">
        <f t="shared" si="3"/>
        <v>6.1696658097686372</v>
      </c>
      <c r="J100">
        <f t="shared" si="4"/>
        <v>55.355612682090829</v>
      </c>
      <c r="K100">
        <f t="shared" si="5"/>
        <v>2.3024027456793942E-2</v>
      </c>
      <c r="L100" t="str" cm="1">
        <f t="array" ref="L100">_xlfn.IFS(I100&gt;5,"high risk",I100&lt;2,"low risk",AND(I100&lt;=5,I100&gt;=2),"moderate risk")</f>
        <v>high risk</v>
      </c>
      <c r="M100" cm="1">
        <f t="array" ref="M100">_xlfn.IFS(L100="low risk",1,L100="moderate risk",2,L100="high risk",3)</f>
        <v>3</v>
      </c>
    </row>
    <row r="101" spans="1:19" ht="18" customHeight="1" x14ac:dyDescent="0.35">
      <c r="A101" s="7" t="s">
        <v>103</v>
      </c>
      <c r="B101" s="14">
        <v>2827</v>
      </c>
      <c r="C101" s="14">
        <v>64</v>
      </c>
      <c r="D101" s="14">
        <v>577</v>
      </c>
      <c r="E101" s="14">
        <v>2186</v>
      </c>
      <c r="F101" s="14">
        <v>6880353</v>
      </c>
      <c r="G101" s="7" t="s">
        <v>197</v>
      </c>
      <c r="H101" s="15">
        <v>43914</v>
      </c>
      <c r="I101">
        <f t="shared" si="3"/>
        <v>2.2638839759462326</v>
      </c>
      <c r="J101">
        <f t="shared" si="4"/>
        <v>20.410328970640254</v>
      </c>
      <c r="K101">
        <f t="shared" si="5"/>
        <v>4.1088008129815431E-2</v>
      </c>
      <c r="L101" t="str" cm="1">
        <f t="array" ref="L101">_xlfn.IFS(I101&gt;5,"high risk",I101&lt;2,"low risk",AND(I101&lt;=5,I101&gt;=2),"moderate risk")</f>
        <v>moderate risk</v>
      </c>
      <c r="M101" cm="1">
        <f t="array" ref="M101">_xlfn.IFS(L101="low risk",1,L101="moderate risk",2,L101="high risk",3)</f>
        <v>2</v>
      </c>
    </row>
    <row r="102" spans="1:19" ht="18" customHeight="1" x14ac:dyDescent="0.35">
      <c r="A102" s="6" t="s">
        <v>104</v>
      </c>
      <c r="B102" s="12">
        <v>86</v>
      </c>
      <c r="C102" s="12">
        <v>1</v>
      </c>
      <c r="D102" s="12">
        <v>81</v>
      </c>
      <c r="E102" s="12">
        <v>4</v>
      </c>
      <c r="F102" s="12">
        <v>38139</v>
      </c>
      <c r="G102" s="6" t="s">
        <v>196</v>
      </c>
      <c r="H102" s="13">
        <v>43893</v>
      </c>
      <c r="I102">
        <f t="shared" si="3"/>
        <v>1.1627906976744187</v>
      </c>
      <c r="J102">
        <f t="shared" si="4"/>
        <v>94.186046511627907</v>
      </c>
      <c r="K102">
        <f t="shared" si="5"/>
        <v>0.22549096725136999</v>
      </c>
      <c r="L102" t="str" cm="1">
        <f t="array" ref="L102">_xlfn.IFS(I102&gt;5,"high risk",I102&lt;2,"low risk",AND(I102&lt;=5,I102&gt;=2),"moderate risk")</f>
        <v>low risk</v>
      </c>
      <c r="M102" cm="1">
        <f t="array" ref="M102">_xlfn.IFS(L102="low risk",1,L102="moderate risk",2,L102="high risk",3)</f>
        <v>1</v>
      </c>
    </row>
    <row r="103" spans="1:19" ht="18" customHeight="1" x14ac:dyDescent="0.35">
      <c r="A103" s="7" t="s">
        <v>105</v>
      </c>
      <c r="B103" s="14">
        <v>2019</v>
      </c>
      <c r="C103" s="14">
        <v>80</v>
      </c>
      <c r="D103" s="14">
        <v>1620</v>
      </c>
      <c r="E103" s="14">
        <v>319</v>
      </c>
      <c r="F103" s="14">
        <v>2718121</v>
      </c>
      <c r="G103" s="7" t="s">
        <v>196</v>
      </c>
      <c r="H103" s="15">
        <v>43889</v>
      </c>
      <c r="I103">
        <f t="shared" si="3"/>
        <v>3.96235760277365</v>
      </c>
      <c r="J103">
        <f t="shared" si="4"/>
        <v>80.237741456166418</v>
      </c>
      <c r="K103">
        <f t="shared" si="5"/>
        <v>7.4279253940497864E-2</v>
      </c>
      <c r="L103" t="str" cm="1">
        <f t="array" ref="L103">_xlfn.IFS(I103&gt;5,"high risk",I103&lt;2,"low risk",AND(I103&lt;=5,I103&gt;=2),"moderate risk")</f>
        <v>moderate risk</v>
      </c>
      <c r="M103" cm="1">
        <f t="array" ref="M103">_xlfn.IFS(L103="low risk",1,L103="moderate risk",2,L103="high risk",3)</f>
        <v>2</v>
      </c>
    </row>
    <row r="104" spans="1:19" ht="18" customHeight="1" x14ac:dyDescent="0.35">
      <c r="A104" s="6" t="s">
        <v>106</v>
      </c>
      <c r="B104" s="12">
        <v>6321</v>
      </c>
      <c r="C104" s="12">
        <v>112</v>
      </c>
      <c r="D104" s="12">
        <v>4825</v>
      </c>
      <c r="E104" s="12">
        <v>1384</v>
      </c>
      <c r="F104" s="12">
        <v>626952</v>
      </c>
      <c r="G104" s="6" t="s">
        <v>196</v>
      </c>
      <c r="H104" s="13">
        <v>43890</v>
      </c>
      <c r="I104">
        <f t="shared" si="3"/>
        <v>1.7718715393133997</v>
      </c>
      <c r="J104">
        <f t="shared" si="4"/>
        <v>76.332858724885298</v>
      </c>
      <c r="K104">
        <f t="shared" si="5"/>
        <v>1.0082111549209509</v>
      </c>
      <c r="L104" t="str" cm="1">
        <f t="array" ref="L104">_xlfn.IFS(I104&gt;5,"high risk",I104&lt;2,"low risk",AND(I104&lt;=5,I104&gt;=2),"moderate risk")</f>
        <v>low risk</v>
      </c>
      <c r="M104" cm="1">
        <f t="array" ref="M104">_xlfn.IFS(L104="low risk",1,L104="moderate risk",2,L104="high risk",3)</f>
        <v>1</v>
      </c>
    </row>
    <row r="105" spans="1:19" ht="18" customHeight="1" x14ac:dyDescent="0.35">
      <c r="A105" s="7" t="s">
        <v>107</v>
      </c>
      <c r="B105" s="14">
        <v>9690</v>
      </c>
      <c r="C105" s="14">
        <v>91</v>
      </c>
      <c r="D105" s="14">
        <v>6260</v>
      </c>
      <c r="E105" s="14">
        <v>3339</v>
      </c>
      <c r="F105" s="14">
        <v>27755708</v>
      </c>
      <c r="G105" s="7" t="s">
        <v>197</v>
      </c>
      <c r="H105" s="15">
        <v>43910</v>
      </c>
      <c r="I105">
        <f t="shared" si="3"/>
        <v>0.9391124871001032</v>
      </c>
      <c r="J105">
        <f t="shared" si="4"/>
        <v>64.602683178534576</v>
      </c>
      <c r="K105">
        <f t="shared" si="5"/>
        <v>3.4911737794618682E-2</v>
      </c>
      <c r="L105" t="str" cm="1">
        <f t="array" ref="L105">_xlfn.IFS(I105&gt;5,"high risk",I105&lt;2,"low risk",AND(I105&lt;=5,I105&gt;=2),"moderate risk")</f>
        <v>low risk</v>
      </c>
      <c r="M105" cm="1">
        <f t="array" ref="M105">_xlfn.IFS(L105="low risk",1,L105="moderate risk",2,L105="high risk",3)</f>
        <v>1</v>
      </c>
    </row>
    <row r="106" spans="1:19" ht="18" customHeight="1" x14ac:dyDescent="0.35">
      <c r="A106" s="6" t="s">
        <v>108</v>
      </c>
      <c r="B106" s="12">
        <v>3664</v>
      </c>
      <c r="C106" s="12">
        <v>99</v>
      </c>
      <c r="D106" s="12">
        <v>1645</v>
      </c>
      <c r="E106" s="12">
        <v>1920</v>
      </c>
      <c r="F106" s="12">
        <v>19174839</v>
      </c>
      <c r="G106" s="6" t="s">
        <v>197</v>
      </c>
      <c r="H106" s="13">
        <v>43922</v>
      </c>
      <c r="I106">
        <f t="shared" si="3"/>
        <v>2.7019650655021836</v>
      </c>
      <c r="J106">
        <f t="shared" si="4"/>
        <v>44.896288209606986</v>
      </c>
      <c r="K106">
        <f t="shared" si="5"/>
        <v>1.910837426066524E-2</v>
      </c>
      <c r="L106" t="str" cm="1">
        <f t="array" ref="L106">_xlfn.IFS(I106&gt;5,"high risk",I106&lt;2,"low risk",AND(I106&lt;=5,I106&gt;=2),"moderate risk")</f>
        <v>moderate risk</v>
      </c>
      <c r="M106" cm="1">
        <f t="array" ref="M106">_xlfn.IFS(L106="low risk",1,L106="moderate risk",2,L106="high risk",3)</f>
        <v>2</v>
      </c>
    </row>
    <row r="107" spans="1:19" ht="18" customHeight="1" x14ac:dyDescent="0.35">
      <c r="A107" s="7" t="s">
        <v>109</v>
      </c>
      <c r="B107" s="14">
        <v>8904</v>
      </c>
      <c r="C107" s="14">
        <v>124</v>
      </c>
      <c r="D107" s="14">
        <v>8601</v>
      </c>
      <c r="E107" s="14">
        <v>179</v>
      </c>
      <c r="F107" s="14">
        <v>32406372</v>
      </c>
      <c r="G107" s="7" t="s">
        <v>195</v>
      </c>
      <c r="H107" s="15">
        <v>43855</v>
      </c>
      <c r="I107">
        <f t="shared" si="3"/>
        <v>1.3926325247079965</v>
      </c>
      <c r="J107">
        <f t="shared" si="4"/>
        <v>96.597035040431265</v>
      </c>
      <c r="K107">
        <f t="shared" si="5"/>
        <v>2.7476077852837094E-2</v>
      </c>
      <c r="L107" t="str" cm="1">
        <f t="array" ref="L107">_xlfn.IFS(I107&gt;5,"high risk",I107&lt;2,"low risk",AND(I107&lt;=5,I107&gt;=2),"moderate risk")</f>
        <v>low risk</v>
      </c>
      <c r="M107" cm="1">
        <f t="array" ref="M107">_xlfn.IFS(L107="low risk",1,L107="moderate risk",2,L107="high risk",3)</f>
        <v>1</v>
      </c>
    </row>
    <row r="108" spans="1:19" ht="18" customHeight="1" x14ac:dyDescent="0.35">
      <c r="A108" s="6" t="s">
        <v>110</v>
      </c>
      <c r="B108" s="12">
        <v>3369</v>
      </c>
      <c r="C108" s="12">
        <v>15</v>
      </c>
      <c r="D108" s="12">
        <v>2547</v>
      </c>
      <c r="E108" s="12">
        <v>807</v>
      </c>
      <c r="F108" s="12">
        <v>541448</v>
      </c>
      <c r="G108" s="6" t="s">
        <v>195</v>
      </c>
      <c r="H108" s="13">
        <v>43897</v>
      </c>
      <c r="I108">
        <f t="shared" si="3"/>
        <v>0.44523597506678536</v>
      </c>
      <c r="J108">
        <f t="shared" si="4"/>
        <v>75.60106856634016</v>
      </c>
      <c r="K108">
        <f t="shared" si="5"/>
        <v>0.62222041636500647</v>
      </c>
      <c r="L108" t="str" cm="1">
        <f t="array" ref="L108">_xlfn.IFS(I108&gt;5,"high risk",I108&lt;2,"low risk",AND(I108&lt;=5,I108&gt;=2),"moderate risk")</f>
        <v>low risk</v>
      </c>
      <c r="M108" cm="1">
        <f t="array" ref="M108">_xlfn.IFS(L108="low risk",1,L108="moderate risk",2,L108="high risk",3)</f>
        <v>1</v>
      </c>
    </row>
    <row r="109" spans="1:19" ht="18" customHeight="1" x14ac:dyDescent="0.35">
      <c r="A109" s="7" t="s">
        <v>111</v>
      </c>
      <c r="B109" s="14">
        <v>2513</v>
      </c>
      <c r="C109" s="14">
        <v>124</v>
      </c>
      <c r="D109" s="14">
        <v>1913</v>
      </c>
      <c r="E109" s="14">
        <v>476</v>
      </c>
      <c r="F109" s="14">
        <v>20302901</v>
      </c>
      <c r="G109" s="7" t="s">
        <v>197</v>
      </c>
      <c r="H109" s="15">
        <v>43915</v>
      </c>
      <c r="I109">
        <f t="shared" si="3"/>
        <v>4.9343414245921213</v>
      </c>
      <c r="J109">
        <f t="shared" si="4"/>
        <v>76.124154397134902</v>
      </c>
      <c r="K109">
        <f t="shared" si="5"/>
        <v>1.2377541514880066E-2</v>
      </c>
      <c r="L109" t="str" cm="1">
        <f t="array" ref="L109">_xlfn.IFS(I109&gt;5,"high risk",I109&lt;2,"low risk",AND(I109&lt;=5,I109&gt;=2),"moderate risk")</f>
        <v>moderate risk</v>
      </c>
      <c r="M109" cm="1">
        <f t="array" ref="M109">_xlfn.IFS(L109="low risk",1,L109="moderate risk",2,L109="high risk",3)</f>
        <v>2</v>
      </c>
    </row>
    <row r="110" spans="1:19" ht="18" customHeight="1" x14ac:dyDescent="0.35">
      <c r="A110" s="6" t="s">
        <v>112</v>
      </c>
      <c r="B110" s="12">
        <v>701</v>
      </c>
      <c r="C110" s="12">
        <v>9</v>
      </c>
      <c r="D110" s="12">
        <v>665</v>
      </c>
      <c r="E110" s="12">
        <v>27</v>
      </c>
      <c r="F110" s="12">
        <v>441663</v>
      </c>
      <c r="G110" s="6" t="s">
        <v>196</v>
      </c>
      <c r="H110" s="13">
        <v>43897</v>
      </c>
      <c r="I110">
        <f t="shared" si="3"/>
        <v>1.2838801711840229</v>
      </c>
      <c r="J110">
        <f t="shared" si="4"/>
        <v>94.864479315263907</v>
      </c>
      <c r="K110">
        <f t="shared" si="5"/>
        <v>0.15871829879342395</v>
      </c>
      <c r="L110" t="str" cm="1">
        <f t="array" ref="L110">_xlfn.IFS(I110&gt;5,"high risk",I110&lt;2,"low risk",AND(I110&lt;=5,I110&gt;=2),"moderate risk")</f>
        <v>low risk</v>
      </c>
      <c r="M110" cm="1">
        <f t="array" ref="M110">_xlfn.IFS(L110="low risk",1,L110="moderate risk",2,L110="high risk",3)</f>
        <v>1</v>
      </c>
    </row>
    <row r="111" spans="1:19" ht="18" customHeight="1" x14ac:dyDescent="0.35">
      <c r="A111" s="7" t="s">
        <v>113</v>
      </c>
      <c r="B111" s="14">
        <v>6208</v>
      </c>
      <c r="C111" s="14">
        <v>156</v>
      </c>
      <c r="D111" s="14">
        <v>4653</v>
      </c>
      <c r="E111" s="14">
        <v>1399</v>
      </c>
      <c r="F111" s="14">
        <v>4660728</v>
      </c>
      <c r="G111" s="7" t="s">
        <v>197</v>
      </c>
      <c r="H111" s="15">
        <v>43903</v>
      </c>
      <c r="I111">
        <f t="shared" si="3"/>
        <v>2.5128865979381443</v>
      </c>
      <c r="J111">
        <f t="shared" si="4"/>
        <v>74.951675257731949</v>
      </c>
      <c r="K111">
        <f t="shared" si="5"/>
        <v>0.13319807549378554</v>
      </c>
      <c r="L111" t="str" cm="1">
        <f t="array" ref="L111">_xlfn.IFS(I111&gt;5,"high risk",I111&lt;2,"low risk",AND(I111&lt;=5,I111&gt;=2),"moderate risk")</f>
        <v>moderate risk</v>
      </c>
      <c r="M111" cm="1">
        <f t="array" ref="M111">_xlfn.IFS(L111="low risk",1,L111="moderate risk",2,L111="high risk",3)</f>
        <v>2</v>
      </c>
    </row>
    <row r="112" spans="1:19" ht="18" customHeight="1" x14ac:dyDescent="0.35">
      <c r="A112" s="6" t="s">
        <v>114</v>
      </c>
      <c r="B112" s="12">
        <v>344</v>
      </c>
      <c r="C112" s="12">
        <v>10</v>
      </c>
      <c r="D112" s="12">
        <v>332</v>
      </c>
      <c r="E112" s="12">
        <v>2</v>
      </c>
      <c r="F112" s="12">
        <v>1271985</v>
      </c>
      <c r="G112" s="6" t="s">
        <v>197</v>
      </c>
      <c r="H112" s="13">
        <v>43908</v>
      </c>
      <c r="I112">
        <f t="shared" si="3"/>
        <v>2.9069767441860463</v>
      </c>
      <c r="J112">
        <f t="shared" si="4"/>
        <v>96.511627906976756</v>
      </c>
      <c r="K112">
        <f t="shared" si="5"/>
        <v>2.7044344076384549E-2</v>
      </c>
      <c r="L112" t="str" cm="1">
        <f t="array" ref="L112">_xlfn.IFS(I112&gt;5,"high risk",I112&lt;2,"low risk",AND(I112&lt;=5,I112&gt;=2),"moderate risk")</f>
        <v>moderate risk</v>
      </c>
      <c r="M112" cm="1">
        <f t="array" ref="M112">_xlfn.IFS(L112="low risk",1,L112="moderate risk",2,L112="high risk",3)</f>
        <v>2</v>
      </c>
    </row>
    <row r="113" spans="1:13" ht="18" customHeight="1" x14ac:dyDescent="0.35">
      <c r="A113" s="7" t="s">
        <v>115</v>
      </c>
      <c r="B113" s="14">
        <v>395489</v>
      </c>
      <c r="C113" s="14">
        <v>44022</v>
      </c>
      <c r="D113" s="14">
        <v>303810</v>
      </c>
      <c r="E113" s="14">
        <v>47657</v>
      </c>
      <c r="F113" s="14">
        <v>129066160</v>
      </c>
      <c r="G113" s="7" t="s">
        <v>198</v>
      </c>
      <c r="H113" s="15">
        <v>43889</v>
      </c>
      <c r="I113">
        <f t="shared" si="3"/>
        <v>11.131030193001576</v>
      </c>
      <c r="J113">
        <f t="shared" si="4"/>
        <v>76.818824290941095</v>
      </c>
      <c r="K113">
        <f t="shared" si="5"/>
        <v>0.30642346529872738</v>
      </c>
      <c r="L113" t="str" cm="1">
        <f t="array" ref="L113">_xlfn.IFS(I113&gt;5,"high risk",I113&lt;2,"low risk",AND(I113&lt;=5,I113&gt;=2),"moderate risk")</f>
        <v>high risk</v>
      </c>
      <c r="M113" cm="1">
        <f t="array" ref="M113">_xlfn.IFS(L113="low risk",1,L113="moderate risk",2,L113="high risk",3)</f>
        <v>3</v>
      </c>
    </row>
    <row r="114" spans="1:13" ht="18" customHeight="1" x14ac:dyDescent="0.35">
      <c r="A114" s="6" t="s">
        <v>116</v>
      </c>
      <c r="B114" s="12">
        <v>23154</v>
      </c>
      <c r="C114" s="12">
        <v>748</v>
      </c>
      <c r="D114" s="12">
        <v>16154</v>
      </c>
      <c r="E114" s="12">
        <v>6252</v>
      </c>
      <c r="F114" s="12">
        <v>4032983</v>
      </c>
      <c r="G114" s="6" t="s">
        <v>196</v>
      </c>
      <c r="H114" s="13">
        <v>43897</v>
      </c>
      <c r="I114">
        <f t="shared" si="3"/>
        <v>3.2305433186490458</v>
      </c>
      <c r="J114">
        <f t="shared" si="4"/>
        <v>69.767642739915345</v>
      </c>
      <c r="K114">
        <f t="shared" si="5"/>
        <v>0.57411598313208856</v>
      </c>
      <c r="L114" t="str" cm="1">
        <f t="array" ref="L114">_xlfn.IFS(I114&gt;5,"high risk",I114&lt;2,"low risk",AND(I114&lt;=5,I114&gt;=2),"moderate risk")</f>
        <v>moderate risk</v>
      </c>
      <c r="M114" cm="1">
        <f t="array" ref="M114">_xlfn.IFS(L114="low risk",1,L114="moderate risk",2,L114="high risk",3)</f>
        <v>2</v>
      </c>
    </row>
    <row r="115" spans="1:13" ht="18" customHeight="1" x14ac:dyDescent="0.35">
      <c r="A115" s="7" t="s">
        <v>117</v>
      </c>
      <c r="B115" s="14">
        <v>116</v>
      </c>
      <c r="C115" s="14">
        <v>4</v>
      </c>
      <c r="D115" s="14">
        <v>104</v>
      </c>
      <c r="E115" s="14">
        <v>8</v>
      </c>
      <c r="F115" s="14">
        <v>39270</v>
      </c>
      <c r="G115" s="7" t="s">
        <v>196</v>
      </c>
      <c r="H115" s="15">
        <v>43890</v>
      </c>
      <c r="I115">
        <f t="shared" si="3"/>
        <v>3.4482758620689653</v>
      </c>
      <c r="J115">
        <f t="shared" si="4"/>
        <v>89.65517241379311</v>
      </c>
      <c r="K115">
        <f t="shared" si="5"/>
        <v>0.29539088362617777</v>
      </c>
      <c r="L115" t="str" cm="1">
        <f t="array" ref="L115">_xlfn.IFS(I115&gt;5,"high risk",I115&lt;2,"low risk",AND(I115&lt;=5,I115&gt;=2),"moderate risk")</f>
        <v>moderate risk</v>
      </c>
      <c r="M115" cm="1">
        <f t="array" ref="M115">_xlfn.IFS(L115="low risk",1,L115="moderate risk",2,L115="high risk",3)</f>
        <v>2</v>
      </c>
    </row>
    <row r="116" spans="1:13" ht="18" customHeight="1" x14ac:dyDescent="0.35">
      <c r="A116" s="6" t="s">
        <v>118</v>
      </c>
      <c r="B116" s="12">
        <v>289</v>
      </c>
      <c r="C116" s="12">
        <v>0</v>
      </c>
      <c r="D116" s="12">
        <v>222</v>
      </c>
      <c r="E116" s="12">
        <v>67</v>
      </c>
      <c r="F116" s="12">
        <v>3283344</v>
      </c>
      <c r="G116" s="6" t="s">
        <v>195</v>
      </c>
      <c r="H116" s="13">
        <v>43900</v>
      </c>
      <c r="I116">
        <f t="shared" si="3"/>
        <v>0</v>
      </c>
      <c r="J116">
        <f t="shared" si="4"/>
        <v>76.816608996539799</v>
      </c>
      <c r="K116">
        <f t="shared" si="5"/>
        <v>8.8020018615167939E-3</v>
      </c>
      <c r="L116" t="str" cm="1">
        <f t="array" ref="L116">_xlfn.IFS(I116&gt;5,"high risk",I116&lt;2,"low risk",AND(I116&lt;=5,I116&gt;=2),"moderate risk")</f>
        <v>low risk</v>
      </c>
      <c r="M116" cm="1">
        <f t="array" ref="M116">_xlfn.IFS(L116="low risk",1,L116="moderate risk",2,L116="high risk",3)</f>
        <v>1</v>
      </c>
    </row>
    <row r="117" spans="1:13" ht="18" customHeight="1" x14ac:dyDescent="0.35">
      <c r="A117" s="7" t="s">
        <v>119</v>
      </c>
      <c r="B117" s="14">
        <v>2893</v>
      </c>
      <c r="C117" s="14">
        <v>45</v>
      </c>
      <c r="D117" s="14">
        <v>809</v>
      </c>
      <c r="E117" s="14">
        <v>2039</v>
      </c>
      <c r="F117" s="14">
        <v>628074</v>
      </c>
      <c r="G117" s="7" t="s">
        <v>196</v>
      </c>
      <c r="H117" s="15">
        <v>43907</v>
      </c>
      <c r="I117">
        <f t="shared" si="3"/>
        <v>1.5554787417905289</v>
      </c>
      <c r="J117">
        <f t="shared" si="4"/>
        <v>27.964051157967507</v>
      </c>
      <c r="K117">
        <f t="shared" si="5"/>
        <v>0.46061451357642574</v>
      </c>
      <c r="L117" t="str" cm="1">
        <f t="array" ref="L117">_xlfn.IFS(I117&gt;5,"high risk",I117&lt;2,"low risk",AND(I117&lt;=5,I117&gt;=2),"moderate risk")</f>
        <v>low risk</v>
      </c>
      <c r="M117" cm="1">
        <f t="array" ref="M117">_xlfn.IFS(L117="low risk",1,L117="moderate risk",2,L117="high risk",3)</f>
        <v>1</v>
      </c>
    </row>
    <row r="118" spans="1:13" ht="18" customHeight="1" x14ac:dyDescent="0.35">
      <c r="A118" s="6" t="s">
        <v>120</v>
      </c>
      <c r="B118" s="12">
        <v>20887</v>
      </c>
      <c r="C118" s="12">
        <v>316</v>
      </c>
      <c r="D118" s="12">
        <v>16553</v>
      </c>
      <c r="E118" s="12">
        <v>4018</v>
      </c>
      <c r="F118" s="12">
        <v>36953359</v>
      </c>
      <c r="G118" s="6" t="s">
        <v>197</v>
      </c>
      <c r="H118" s="13">
        <v>43892</v>
      </c>
      <c r="I118">
        <f t="shared" si="3"/>
        <v>1.5129027624838416</v>
      </c>
      <c r="J118">
        <f t="shared" si="4"/>
        <v>79.250251352515917</v>
      </c>
      <c r="K118">
        <f t="shared" si="5"/>
        <v>5.6522601910153819E-2</v>
      </c>
      <c r="L118" t="str" cm="1">
        <f t="array" ref="L118">_xlfn.IFS(I118&gt;5,"high risk",I118&lt;2,"low risk",AND(I118&lt;=5,I118&gt;=2),"moderate risk")</f>
        <v>low risk</v>
      </c>
      <c r="M118" cm="1">
        <f t="array" ref="M118">_xlfn.IFS(L118="low risk",1,L118="moderate risk",2,L118="high risk",3)</f>
        <v>1</v>
      </c>
    </row>
    <row r="119" spans="1:13" ht="18" customHeight="1" x14ac:dyDescent="0.35">
      <c r="A119" s="7" t="s">
        <v>121</v>
      </c>
      <c r="B119" s="14">
        <v>1701</v>
      </c>
      <c r="C119" s="14">
        <v>11</v>
      </c>
      <c r="D119" s="14">
        <v>0</v>
      </c>
      <c r="E119" s="14">
        <v>1690</v>
      </c>
      <c r="F119" s="14">
        <v>31333962</v>
      </c>
      <c r="G119" s="7" t="s">
        <v>197</v>
      </c>
      <c r="H119" s="15">
        <v>43912</v>
      </c>
      <c r="I119">
        <f t="shared" si="3"/>
        <v>0.64667842445620227</v>
      </c>
      <c r="J119">
        <f t="shared" si="4"/>
        <v>0</v>
      </c>
      <c r="K119">
        <f t="shared" si="5"/>
        <v>5.428614485458302E-3</v>
      </c>
      <c r="L119" t="str" cm="1">
        <f t="array" ref="L119">_xlfn.IFS(I119&gt;5,"high risk",I119&lt;2,"low risk",AND(I119&lt;=5,I119&gt;=2),"moderate risk")</f>
        <v>low risk</v>
      </c>
      <c r="M119" cm="1">
        <f t="array" ref="M119">_xlfn.IFS(L119="low risk",1,L119="moderate risk",2,L119="high risk",3)</f>
        <v>1</v>
      </c>
    </row>
    <row r="120" spans="1:13" ht="18" customHeight="1" x14ac:dyDescent="0.35">
      <c r="A120" s="6" t="s">
        <v>122</v>
      </c>
      <c r="B120" s="12">
        <v>1843</v>
      </c>
      <c r="C120" s="12">
        <v>8</v>
      </c>
      <c r="D120" s="12">
        <v>101</v>
      </c>
      <c r="E120" s="12">
        <v>1734</v>
      </c>
      <c r="F120" s="12">
        <v>2545264</v>
      </c>
      <c r="G120" s="6" t="s">
        <v>197</v>
      </c>
      <c r="H120" s="13">
        <v>43904</v>
      </c>
      <c r="I120">
        <f t="shared" si="3"/>
        <v>0.43407487791644062</v>
      </c>
      <c r="J120">
        <f t="shared" si="4"/>
        <v>5.480195333695062</v>
      </c>
      <c r="K120">
        <f t="shared" si="5"/>
        <v>7.2408991758811658E-2</v>
      </c>
      <c r="L120" t="str" cm="1">
        <f t="array" ref="L120">_xlfn.IFS(I120&gt;5,"high risk",I120&lt;2,"low risk",AND(I120&lt;=5,I120&gt;=2),"moderate risk")</f>
        <v>low risk</v>
      </c>
      <c r="M120" cm="1">
        <f t="array" ref="M120">_xlfn.IFS(L120="low risk",1,L120="moderate risk",2,L120="high risk",3)</f>
        <v>1</v>
      </c>
    </row>
    <row r="121" spans="1:13" ht="18" customHeight="1" x14ac:dyDescent="0.35">
      <c r="A121" s="7" t="s">
        <v>123</v>
      </c>
      <c r="B121" s="14">
        <v>18752</v>
      </c>
      <c r="C121" s="14">
        <v>48</v>
      </c>
      <c r="D121" s="14">
        <v>13754</v>
      </c>
      <c r="E121" s="14">
        <v>4950</v>
      </c>
      <c r="F121" s="14">
        <v>29186486</v>
      </c>
      <c r="G121" s="7" t="s">
        <v>195</v>
      </c>
      <c r="H121" s="15">
        <v>43843</v>
      </c>
      <c r="I121">
        <f t="shared" si="3"/>
        <v>0.25597269624573377</v>
      </c>
      <c r="J121">
        <f t="shared" si="4"/>
        <v>73.346843003412971</v>
      </c>
      <c r="K121">
        <f t="shared" si="5"/>
        <v>6.4248913007204769E-2</v>
      </c>
      <c r="L121" t="str" cm="1">
        <f t="array" ref="L121">_xlfn.IFS(I121&gt;5,"high risk",I121&lt;2,"low risk",AND(I121&lt;=5,I121&gt;=2),"moderate risk")</f>
        <v>low risk</v>
      </c>
      <c r="M121" cm="1">
        <f t="array" ref="M121">_xlfn.IFS(L121="low risk",1,L121="moderate risk",2,L121="high risk",3)</f>
        <v>1</v>
      </c>
    </row>
    <row r="122" spans="1:13" ht="18" customHeight="1" x14ac:dyDescent="0.35">
      <c r="A122" s="6" t="s">
        <v>124</v>
      </c>
      <c r="B122" s="12">
        <v>53413</v>
      </c>
      <c r="C122" s="12">
        <v>6160</v>
      </c>
      <c r="D122" s="12">
        <v>189</v>
      </c>
      <c r="E122" s="12">
        <v>47064</v>
      </c>
      <c r="F122" s="12">
        <v>17138756</v>
      </c>
      <c r="G122" s="6" t="s">
        <v>196</v>
      </c>
      <c r="H122" s="13">
        <v>43888</v>
      </c>
      <c r="I122">
        <f t="shared" si="3"/>
        <v>11.532772920450078</v>
      </c>
      <c r="J122">
        <f t="shared" si="4"/>
        <v>0.35384644187744557</v>
      </c>
      <c r="K122">
        <f t="shared" si="5"/>
        <v>0.31165039049508614</v>
      </c>
      <c r="L122" t="str" cm="1">
        <f t="array" ref="L122">_xlfn.IFS(I122&gt;5,"high risk",I122&lt;2,"low risk",AND(I122&lt;=5,I122&gt;=2),"moderate risk")</f>
        <v>high risk</v>
      </c>
      <c r="M122" cm="1">
        <f t="array" ref="M122">_xlfn.IFS(L122="low risk",1,L122="moderate risk",2,L122="high risk",3)</f>
        <v>3</v>
      </c>
    </row>
    <row r="123" spans="1:13" ht="18" customHeight="1" x14ac:dyDescent="0.35">
      <c r="A123" s="7" t="s">
        <v>125</v>
      </c>
      <c r="B123" s="14">
        <v>1557</v>
      </c>
      <c r="C123" s="14">
        <v>22</v>
      </c>
      <c r="D123" s="14">
        <v>1514</v>
      </c>
      <c r="E123" s="14">
        <v>21</v>
      </c>
      <c r="F123" s="14">
        <v>5002100</v>
      </c>
      <c r="G123" s="7" t="s">
        <v>200</v>
      </c>
      <c r="H123" s="15">
        <v>43889</v>
      </c>
      <c r="I123">
        <f t="shared" si="3"/>
        <v>1.4129736673089275</v>
      </c>
      <c r="J123">
        <f t="shared" si="4"/>
        <v>97.238278741168912</v>
      </c>
      <c r="K123">
        <f t="shared" si="5"/>
        <v>3.1126926690789869E-2</v>
      </c>
      <c r="L123" t="str" cm="1">
        <f t="array" ref="L123">_xlfn.IFS(I123&gt;5,"high risk",I123&lt;2,"low risk",AND(I123&lt;=5,I123&gt;=2),"moderate risk")</f>
        <v>low risk</v>
      </c>
      <c r="M123" cm="1">
        <f t="array" ref="M123">_xlfn.IFS(L123="low risk",1,L123="moderate risk",2,L123="high risk",3)</f>
        <v>1</v>
      </c>
    </row>
    <row r="124" spans="1:13" ht="18" customHeight="1" x14ac:dyDescent="0.35">
      <c r="A124" s="6" t="s">
        <v>126</v>
      </c>
      <c r="B124" s="12">
        <v>3439</v>
      </c>
      <c r="C124" s="12">
        <v>108</v>
      </c>
      <c r="D124" s="12">
        <v>2492</v>
      </c>
      <c r="E124" s="12">
        <v>839</v>
      </c>
      <c r="F124" s="12">
        <v>6632263</v>
      </c>
      <c r="G124" s="6" t="s">
        <v>198</v>
      </c>
      <c r="H124" s="13">
        <v>43908</v>
      </c>
      <c r="I124">
        <f t="shared" si="3"/>
        <v>3.1404478045943587</v>
      </c>
      <c r="J124">
        <f t="shared" si="4"/>
        <v>72.462925268973549</v>
      </c>
      <c r="K124">
        <f t="shared" si="5"/>
        <v>5.1852587872344626E-2</v>
      </c>
      <c r="L124" t="str" cm="1">
        <f t="array" ref="L124">_xlfn.IFS(I124&gt;5,"high risk",I124&lt;2,"low risk",AND(I124&lt;=5,I124&gt;=2),"moderate risk")</f>
        <v>moderate risk</v>
      </c>
      <c r="M124" cm="1">
        <f t="array" ref="M124">_xlfn.IFS(L124="low risk",1,L124="moderate risk",2,L124="high risk",3)</f>
        <v>2</v>
      </c>
    </row>
    <row r="125" spans="1:13" ht="18" customHeight="1" x14ac:dyDescent="0.35">
      <c r="A125" s="7" t="s">
        <v>127</v>
      </c>
      <c r="B125" s="14">
        <v>1132</v>
      </c>
      <c r="C125" s="14">
        <v>69</v>
      </c>
      <c r="D125" s="14">
        <v>1027</v>
      </c>
      <c r="E125" s="14">
        <v>36</v>
      </c>
      <c r="F125" s="14">
        <v>24281433</v>
      </c>
      <c r="G125" s="7" t="s">
        <v>197</v>
      </c>
      <c r="H125" s="15">
        <v>43909</v>
      </c>
      <c r="I125">
        <f t="shared" si="3"/>
        <v>6.0954063604240289</v>
      </c>
      <c r="J125">
        <f t="shared" si="4"/>
        <v>90.724381625441694</v>
      </c>
      <c r="K125">
        <f t="shared" si="5"/>
        <v>4.6619983260460778E-3</v>
      </c>
      <c r="L125" t="str" cm="1">
        <f t="array" ref="L125">_xlfn.IFS(I125&gt;5,"high risk",I125&lt;2,"low risk",AND(I125&lt;=5,I125&gt;=2),"moderate risk")</f>
        <v>high risk</v>
      </c>
      <c r="M125" cm="1">
        <f t="array" ref="M125">_xlfn.IFS(L125="low risk",1,L125="moderate risk",2,L125="high risk",3)</f>
        <v>3</v>
      </c>
    </row>
    <row r="126" spans="1:13" ht="18" customHeight="1" x14ac:dyDescent="0.35">
      <c r="A126" s="6" t="s">
        <v>128</v>
      </c>
      <c r="B126" s="12">
        <v>41180</v>
      </c>
      <c r="C126" s="12">
        <v>860</v>
      </c>
      <c r="D126" s="12">
        <v>18203</v>
      </c>
      <c r="E126" s="12">
        <v>22117</v>
      </c>
      <c r="F126" s="12">
        <v>206606300</v>
      </c>
      <c r="G126" s="6" t="s">
        <v>197</v>
      </c>
      <c r="H126" s="13">
        <v>43888</v>
      </c>
      <c r="I126">
        <f t="shared" si="3"/>
        <v>2.0883924235065567</v>
      </c>
      <c r="J126">
        <f t="shared" si="4"/>
        <v>44.203496843127731</v>
      </c>
      <c r="K126">
        <f t="shared" si="5"/>
        <v>1.9931628415977634E-2</v>
      </c>
      <c r="L126" t="str" cm="1">
        <f t="array" ref="L126">_xlfn.IFS(I126&gt;5,"high risk",I126&lt;2,"low risk",AND(I126&lt;=5,I126&gt;=2),"moderate risk")</f>
        <v>moderate risk</v>
      </c>
      <c r="M126" cm="1">
        <f t="array" ref="M126">_xlfn.IFS(L126="low risk",1,L126="moderate risk",2,L126="high risk",3)</f>
        <v>2</v>
      </c>
    </row>
    <row r="127" spans="1:13" ht="18" customHeight="1" x14ac:dyDescent="0.35">
      <c r="A127" s="7" t="s">
        <v>129</v>
      </c>
      <c r="B127" s="14">
        <v>10213</v>
      </c>
      <c r="C127" s="14">
        <v>466</v>
      </c>
      <c r="D127" s="14">
        <v>5564</v>
      </c>
      <c r="E127" s="14">
        <v>4183</v>
      </c>
      <c r="F127" s="14">
        <v>2083365</v>
      </c>
      <c r="G127" s="7" t="s">
        <v>196</v>
      </c>
      <c r="H127" s="15">
        <v>43887</v>
      </c>
      <c r="I127">
        <f t="shared" si="3"/>
        <v>4.562812102222658</v>
      </c>
      <c r="J127">
        <f t="shared" si="4"/>
        <v>54.479584842847352</v>
      </c>
      <c r="K127">
        <f t="shared" si="5"/>
        <v>0.49021654870845965</v>
      </c>
      <c r="L127" t="str" cm="1">
        <f t="array" ref="L127">_xlfn.IFS(I127&gt;5,"high risk",I127&lt;2,"low risk",AND(I127&lt;=5,I127&gt;=2),"moderate risk")</f>
        <v>moderate risk</v>
      </c>
      <c r="M127" cm="1">
        <f t="array" ref="M127">_xlfn.IFS(L127="low risk",1,L127="moderate risk",2,L127="high risk",3)</f>
        <v>2</v>
      </c>
    </row>
    <row r="128" spans="1:13" ht="18" customHeight="1" x14ac:dyDescent="0.35">
      <c r="A128" s="6" t="s">
        <v>130</v>
      </c>
      <c r="B128" s="12">
        <v>9132</v>
      </c>
      <c r="C128" s="12">
        <v>255</v>
      </c>
      <c r="D128" s="12">
        <v>8752</v>
      </c>
      <c r="E128" s="12">
        <v>125</v>
      </c>
      <c r="F128" s="12">
        <v>5425471</v>
      </c>
      <c r="G128" s="6" t="s">
        <v>196</v>
      </c>
      <c r="H128" s="13">
        <v>43887</v>
      </c>
      <c r="I128">
        <f t="shared" si="3"/>
        <v>2.7923784494086727</v>
      </c>
      <c r="J128">
        <f t="shared" si="4"/>
        <v>95.838808585194926</v>
      </c>
      <c r="K128">
        <f t="shared" si="5"/>
        <v>0.16831718389057834</v>
      </c>
      <c r="L128" t="str" cm="1">
        <f t="array" ref="L128">_xlfn.IFS(I128&gt;5,"high risk",I128&lt;2,"low risk",AND(I128&lt;=5,I128&gt;=2),"moderate risk")</f>
        <v>moderate risk</v>
      </c>
      <c r="M128" cm="1">
        <f t="array" ref="M128">_xlfn.IFS(L128="low risk",1,L128="moderate risk",2,L128="high risk",3)</f>
        <v>2</v>
      </c>
    </row>
    <row r="129" spans="1:13" ht="18" customHeight="1" x14ac:dyDescent="0.35">
      <c r="A129" s="7" t="s">
        <v>131</v>
      </c>
      <c r="B129" s="14">
        <v>77058</v>
      </c>
      <c r="C129" s="14">
        <v>393</v>
      </c>
      <c r="D129" s="14">
        <v>57028</v>
      </c>
      <c r="E129" s="14">
        <v>19637</v>
      </c>
      <c r="F129" s="14">
        <v>5118446</v>
      </c>
      <c r="G129" s="7" t="s">
        <v>195</v>
      </c>
      <c r="H129" s="15">
        <v>43885</v>
      </c>
      <c r="I129">
        <f t="shared" si="3"/>
        <v>0.51000545043992829</v>
      </c>
      <c r="J129">
        <f t="shared" si="4"/>
        <v>74.006592436865731</v>
      </c>
      <c r="K129">
        <f t="shared" si="5"/>
        <v>1.5054960040606076</v>
      </c>
      <c r="L129" t="str" cm="1">
        <f t="array" ref="L129">_xlfn.IFS(I129&gt;5,"high risk",I129&lt;2,"low risk",AND(I129&lt;=5,I129&gt;=2),"moderate risk")</f>
        <v>low risk</v>
      </c>
      <c r="M129" cm="1">
        <f t="array" ref="M129">_xlfn.IFS(L129="low risk",1,L129="moderate risk",2,L129="high risk",3)</f>
        <v>1</v>
      </c>
    </row>
    <row r="130" spans="1:13" ht="18" customHeight="1" x14ac:dyDescent="0.35">
      <c r="A130" s="6" t="s">
        <v>132</v>
      </c>
      <c r="B130" s="12">
        <v>274289</v>
      </c>
      <c r="C130" s="12">
        <v>5842</v>
      </c>
      <c r="D130" s="12">
        <v>241026</v>
      </c>
      <c r="E130" s="12">
        <v>27421</v>
      </c>
      <c r="F130" s="12">
        <v>221295851</v>
      </c>
      <c r="G130" s="6" t="s">
        <v>195</v>
      </c>
      <c r="H130" s="13">
        <v>43887</v>
      </c>
      <c r="I130">
        <f t="shared" si="3"/>
        <v>2.1298703192618005</v>
      </c>
      <c r="J130">
        <f t="shared" si="4"/>
        <v>87.873009854569446</v>
      </c>
      <c r="K130">
        <f t="shared" si="5"/>
        <v>0.12394674313166405</v>
      </c>
      <c r="L130" t="str" cm="1">
        <f t="array" ref="L130">_xlfn.IFS(I130&gt;5,"high risk",I130&lt;2,"low risk",AND(I130&lt;=5,I130&gt;=2),"moderate risk")</f>
        <v>moderate risk</v>
      </c>
      <c r="M130" cm="1">
        <f t="array" ref="M130">_xlfn.IFS(L130="low risk",1,L130="moderate risk",2,L130="high risk",3)</f>
        <v>2</v>
      </c>
    </row>
    <row r="131" spans="1:13" ht="18" customHeight="1" x14ac:dyDescent="0.35">
      <c r="A131" s="7" t="s">
        <v>133</v>
      </c>
      <c r="B131" s="14">
        <v>61442</v>
      </c>
      <c r="C131" s="14">
        <v>1322</v>
      </c>
      <c r="D131" s="14">
        <v>35086</v>
      </c>
      <c r="E131" s="14">
        <v>25034</v>
      </c>
      <c r="F131" s="14">
        <v>5112340</v>
      </c>
      <c r="G131" s="7" t="s">
        <v>195</v>
      </c>
      <c r="H131" s="15">
        <v>43899</v>
      </c>
      <c r="I131">
        <f t="shared" ref="I131:I188" si="6">(C131/B131)*100</f>
        <v>2.1516226685329256</v>
      </c>
      <c r="J131">
        <f t="shared" ref="J131:J188" si="7">(D131/B131)*100</f>
        <v>57.104260929006209</v>
      </c>
      <c r="K131">
        <f t="shared" ref="K131:K188" si="8">(B131/F131)*100</f>
        <v>1.2018371235089997</v>
      </c>
      <c r="L131" t="str" cm="1">
        <f t="array" ref="L131">_xlfn.IFS(I131&gt;5,"high risk",I131&lt;2,"low risk",AND(I131&lt;=5,I131&gt;=2),"moderate risk")</f>
        <v>moderate risk</v>
      </c>
      <c r="M131" cm="1">
        <f t="array" ref="M131">_xlfn.IFS(L131="low risk",1,L131="moderate risk",2,L131="high risk",3)</f>
        <v>2</v>
      </c>
    </row>
    <row r="132" spans="1:13" ht="18" customHeight="1" x14ac:dyDescent="0.35">
      <c r="A132" s="6" t="s">
        <v>134</v>
      </c>
      <c r="B132" s="12">
        <v>62</v>
      </c>
      <c r="C132" s="12">
        <v>0</v>
      </c>
      <c r="D132" s="12">
        <v>11</v>
      </c>
      <c r="E132" s="12">
        <v>51</v>
      </c>
      <c r="F132" s="12">
        <v>8963009</v>
      </c>
      <c r="G132" s="6" t="s">
        <v>200</v>
      </c>
      <c r="H132" s="13">
        <v>43910</v>
      </c>
      <c r="I132">
        <f t="shared" si="6"/>
        <v>0</v>
      </c>
      <c r="J132">
        <f t="shared" si="7"/>
        <v>17.741935483870968</v>
      </c>
      <c r="K132">
        <f t="shared" si="8"/>
        <v>6.9173198420307289E-4</v>
      </c>
      <c r="L132" t="str" cm="1">
        <f t="array" ref="L132">_xlfn.IFS(I132&gt;5,"high risk",I132&lt;2,"low risk",AND(I132&lt;=5,I132&gt;=2),"moderate risk")</f>
        <v>low risk</v>
      </c>
      <c r="M132" cm="1">
        <f t="array" ref="M132">_xlfn.IFS(L132="low risk",1,L132="moderate risk",2,L132="high risk",3)</f>
        <v>1</v>
      </c>
    </row>
    <row r="133" spans="1:13" ht="18" customHeight="1" x14ac:dyDescent="0.35">
      <c r="A133" s="7" t="s">
        <v>135</v>
      </c>
      <c r="B133" s="14">
        <v>4548</v>
      </c>
      <c r="C133" s="14">
        <v>43</v>
      </c>
      <c r="D133" s="14">
        <v>2905</v>
      </c>
      <c r="E133" s="14">
        <v>1600</v>
      </c>
      <c r="F133" s="14">
        <v>7141091</v>
      </c>
      <c r="G133" s="7" t="s">
        <v>199</v>
      </c>
      <c r="H133" s="15">
        <v>43897</v>
      </c>
      <c r="I133">
        <f t="shared" si="6"/>
        <v>0.94547053649956025</v>
      </c>
      <c r="J133">
        <f t="shared" si="7"/>
        <v>63.874230430958669</v>
      </c>
      <c r="K133">
        <f t="shared" si="8"/>
        <v>6.3687747432430136E-2</v>
      </c>
      <c r="L133" t="str" cm="1">
        <f t="array" ref="L133">_xlfn.IFS(I133&gt;5,"high risk",I133&lt;2,"low risk",AND(I133&lt;=5,I133&gt;=2),"moderate risk")</f>
        <v>low risk</v>
      </c>
      <c r="M133" cm="1">
        <f t="array" ref="M133">_xlfn.IFS(L133="low risk",1,L133="moderate risk",2,L133="high risk",3)</f>
        <v>1</v>
      </c>
    </row>
    <row r="134" spans="1:13" ht="18" customHeight="1" x14ac:dyDescent="0.35">
      <c r="A134" s="6" t="s">
        <v>136</v>
      </c>
      <c r="B134" s="12">
        <v>389717</v>
      </c>
      <c r="C134" s="12">
        <v>18418</v>
      </c>
      <c r="D134" s="12">
        <v>272547</v>
      </c>
      <c r="E134" s="12">
        <v>98752</v>
      </c>
      <c r="F134" s="12">
        <v>33016319</v>
      </c>
      <c r="G134" s="6" t="s">
        <v>199</v>
      </c>
      <c r="H134" s="13">
        <v>43896</v>
      </c>
      <c r="I134">
        <f t="shared" si="6"/>
        <v>4.7259934773181564</v>
      </c>
      <c r="J134">
        <f t="shared" si="7"/>
        <v>69.934593564047759</v>
      </c>
      <c r="K134">
        <f t="shared" si="8"/>
        <v>1.180376891803111</v>
      </c>
      <c r="L134" t="str" cm="1">
        <f t="array" ref="L134">_xlfn.IFS(I134&gt;5,"high risk",I134&lt;2,"low risk",AND(I134&lt;=5,I134&gt;=2),"moderate risk")</f>
        <v>moderate risk</v>
      </c>
      <c r="M134" cm="1">
        <f t="array" ref="M134">_xlfn.IFS(L134="low risk",1,L134="moderate risk",2,L134="high risk",3)</f>
        <v>2</v>
      </c>
    </row>
    <row r="135" spans="1:13" ht="18" customHeight="1" x14ac:dyDescent="0.35">
      <c r="A135" s="7" t="s">
        <v>137</v>
      </c>
      <c r="B135" s="14">
        <v>82040</v>
      </c>
      <c r="C135" s="14">
        <v>1945</v>
      </c>
      <c r="D135" s="14">
        <v>26446</v>
      </c>
      <c r="E135" s="14">
        <v>53649</v>
      </c>
      <c r="F135" s="14">
        <v>109722719</v>
      </c>
      <c r="G135" s="7" t="s">
        <v>195</v>
      </c>
      <c r="H135" s="15">
        <v>43860</v>
      </c>
      <c r="I135">
        <f t="shared" si="6"/>
        <v>2.3707947342759628</v>
      </c>
      <c r="J135">
        <f t="shared" si="7"/>
        <v>32.235494880546071</v>
      </c>
      <c r="K135">
        <f t="shared" si="8"/>
        <v>7.4770294381786145E-2</v>
      </c>
      <c r="L135" t="str" cm="1">
        <f t="array" ref="L135">_xlfn.IFS(I135&gt;5,"high risk",I135&lt;2,"low risk",AND(I135&lt;=5,I135&gt;=2),"moderate risk")</f>
        <v>moderate risk</v>
      </c>
      <c r="M135" cm="1">
        <f t="array" ref="M135">_xlfn.IFS(L135="low risk",1,L135="moderate risk",2,L135="high risk",3)</f>
        <v>2</v>
      </c>
    </row>
    <row r="136" spans="1:13" ht="18" customHeight="1" x14ac:dyDescent="0.35">
      <c r="A136" s="6" t="s">
        <v>138</v>
      </c>
      <c r="B136" s="12">
        <v>43402</v>
      </c>
      <c r="C136" s="12">
        <v>1676</v>
      </c>
      <c r="D136" s="12">
        <v>32856</v>
      </c>
      <c r="E136" s="12">
        <v>8870</v>
      </c>
      <c r="F136" s="12">
        <v>37842302</v>
      </c>
      <c r="G136" s="6" t="s">
        <v>196</v>
      </c>
      <c r="H136" s="13">
        <v>43894</v>
      </c>
      <c r="I136">
        <f t="shared" si="6"/>
        <v>3.8615731993917333</v>
      </c>
      <c r="J136">
        <f t="shared" si="7"/>
        <v>75.701580572323863</v>
      </c>
      <c r="K136">
        <f t="shared" si="8"/>
        <v>0.11469175421727779</v>
      </c>
      <c r="L136" t="str" cm="1">
        <f t="array" ref="L136">_xlfn.IFS(I136&gt;5,"high risk",I136&lt;2,"low risk",AND(I136&lt;=5,I136&gt;=2),"moderate risk")</f>
        <v>moderate risk</v>
      </c>
      <c r="M136" cm="1">
        <f t="array" ref="M136">_xlfn.IFS(L136="low risk",1,L136="moderate risk",2,L136="high risk",3)</f>
        <v>2</v>
      </c>
    </row>
    <row r="137" spans="1:13" ht="18" customHeight="1" x14ac:dyDescent="0.35">
      <c r="A137" s="7" t="s">
        <v>139</v>
      </c>
      <c r="B137" s="14">
        <v>50299</v>
      </c>
      <c r="C137" s="14">
        <v>1719</v>
      </c>
      <c r="D137" s="14">
        <v>35375</v>
      </c>
      <c r="E137" s="14">
        <v>13205</v>
      </c>
      <c r="F137" s="14">
        <v>10193593</v>
      </c>
      <c r="G137" s="7" t="s">
        <v>196</v>
      </c>
      <c r="H137" s="15">
        <v>43892</v>
      </c>
      <c r="I137">
        <f t="shared" si="6"/>
        <v>3.417562973418955</v>
      </c>
      <c r="J137">
        <f t="shared" si="7"/>
        <v>70.329430008548883</v>
      </c>
      <c r="K137">
        <f t="shared" si="8"/>
        <v>0.49343739739265635</v>
      </c>
      <c r="L137" t="str" cm="1">
        <f t="array" ref="L137">_xlfn.IFS(I137&gt;5,"high risk",I137&lt;2,"low risk",AND(I137&lt;=5,I137&gt;=2),"moderate risk")</f>
        <v>moderate risk</v>
      </c>
      <c r="M137" cm="1">
        <f t="array" ref="M137">_xlfn.IFS(L137="low risk",1,L137="moderate risk",2,L137="high risk",3)</f>
        <v>2</v>
      </c>
    </row>
    <row r="138" spans="1:13" ht="18" customHeight="1" x14ac:dyDescent="0.35">
      <c r="A138" s="6" t="s">
        <v>140</v>
      </c>
      <c r="B138" s="12">
        <v>109597</v>
      </c>
      <c r="C138" s="12">
        <v>165</v>
      </c>
      <c r="D138" s="12">
        <v>106328</v>
      </c>
      <c r="E138" s="12">
        <v>3104</v>
      </c>
      <c r="F138" s="12">
        <v>2807805</v>
      </c>
      <c r="G138" s="6" t="s">
        <v>195</v>
      </c>
      <c r="H138" s="13">
        <v>43888</v>
      </c>
      <c r="I138">
        <f t="shared" si="6"/>
        <v>0.15055156619250529</v>
      </c>
      <c r="J138">
        <f t="shared" si="7"/>
        <v>97.017254121919393</v>
      </c>
      <c r="K138">
        <f t="shared" si="8"/>
        <v>3.9032981278970582</v>
      </c>
      <c r="L138" t="str" cm="1">
        <f t="array" ref="L138">_xlfn.IFS(I138&gt;5,"high risk",I138&lt;2,"low risk",AND(I138&lt;=5,I138&gt;=2),"moderate risk")</f>
        <v>low risk</v>
      </c>
      <c r="M138" cm="1">
        <f t="array" ref="M138">_xlfn.IFS(L138="low risk",1,L138="moderate risk",2,L138="high risk",3)</f>
        <v>1</v>
      </c>
    </row>
    <row r="139" spans="1:13" ht="18" customHeight="1" x14ac:dyDescent="0.35">
      <c r="A139" s="7" t="s">
        <v>141</v>
      </c>
      <c r="B139" s="14">
        <v>45902</v>
      </c>
      <c r="C139" s="14">
        <v>2206</v>
      </c>
      <c r="D139" s="14">
        <v>25794</v>
      </c>
      <c r="E139" s="14">
        <v>17902</v>
      </c>
      <c r="F139" s="14">
        <v>19224023</v>
      </c>
      <c r="G139" s="7" t="s">
        <v>196</v>
      </c>
      <c r="H139" s="15">
        <v>43887</v>
      </c>
      <c r="I139">
        <f t="shared" si="6"/>
        <v>4.8058908108579148</v>
      </c>
      <c r="J139">
        <f t="shared" si="7"/>
        <v>56.193629907193589</v>
      </c>
      <c r="K139">
        <f t="shared" si="8"/>
        <v>0.23877416293145304</v>
      </c>
      <c r="L139" t="str" cm="1">
        <f t="array" ref="L139">_xlfn.IFS(I139&gt;5,"high risk",I139&lt;2,"low risk",AND(I139&lt;=5,I139&gt;=2),"moderate risk")</f>
        <v>moderate risk</v>
      </c>
      <c r="M139" cm="1">
        <f t="array" ref="M139">_xlfn.IFS(L139="low risk",1,L139="moderate risk",2,L139="high risk",3)</f>
        <v>2</v>
      </c>
    </row>
    <row r="140" spans="1:13" ht="18" customHeight="1" x14ac:dyDescent="0.35">
      <c r="A140" s="6" t="s">
        <v>142</v>
      </c>
      <c r="B140" s="12">
        <v>816680</v>
      </c>
      <c r="C140" s="12">
        <v>13334</v>
      </c>
      <c r="D140" s="12">
        <v>602249</v>
      </c>
      <c r="E140" s="12">
        <v>201097</v>
      </c>
      <c r="F140" s="12">
        <v>145940924</v>
      </c>
      <c r="G140" s="6" t="s">
        <v>196</v>
      </c>
      <c r="H140" s="13">
        <v>43861</v>
      </c>
      <c r="I140">
        <f t="shared" si="6"/>
        <v>1.6327080374197971</v>
      </c>
      <c r="J140">
        <f t="shared" si="7"/>
        <v>73.74357153352598</v>
      </c>
      <c r="K140">
        <f t="shared" si="8"/>
        <v>0.55959629253820542</v>
      </c>
      <c r="L140" t="str" cm="1">
        <f t="array" ref="L140">_xlfn.IFS(I140&gt;5,"high risk",I140&lt;2,"low risk",AND(I140&lt;=5,I140&gt;=2),"moderate risk")</f>
        <v>low risk</v>
      </c>
      <c r="M140" cm="1">
        <f t="array" ref="M140">_xlfn.IFS(L140="low risk",1,L140="moderate risk",2,L140="high risk",3)</f>
        <v>1</v>
      </c>
    </row>
    <row r="141" spans="1:13" ht="18" customHeight="1" x14ac:dyDescent="0.35">
      <c r="A141" s="7" t="s">
        <v>143</v>
      </c>
      <c r="B141" s="14">
        <v>1879</v>
      </c>
      <c r="C141" s="14">
        <v>5</v>
      </c>
      <c r="D141" s="14">
        <v>975</v>
      </c>
      <c r="E141" s="14">
        <v>899</v>
      </c>
      <c r="F141" s="14">
        <v>12981546</v>
      </c>
      <c r="G141" s="7" t="s">
        <v>197</v>
      </c>
      <c r="H141" s="15">
        <v>43904</v>
      </c>
      <c r="I141">
        <f t="shared" si="6"/>
        <v>0.26609898882384247</v>
      </c>
      <c r="J141">
        <f t="shared" si="7"/>
        <v>51.889302820649284</v>
      </c>
      <c r="K141">
        <f t="shared" si="8"/>
        <v>1.4474393111575461E-2</v>
      </c>
      <c r="L141" t="str" cm="1">
        <f t="array" ref="L141">_xlfn.IFS(I141&gt;5,"high risk",I141&lt;2,"low risk",AND(I141&lt;=5,I141&gt;=2),"moderate risk")</f>
        <v>low risk</v>
      </c>
      <c r="M141" cm="1">
        <f t="array" ref="M141">_xlfn.IFS(L141="low risk",1,L141="moderate risk",2,L141="high risk",3)</f>
        <v>1</v>
      </c>
    </row>
    <row r="142" spans="1:13" ht="18" customHeight="1" x14ac:dyDescent="0.35">
      <c r="A142" s="6" t="s">
        <v>144</v>
      </c>
      <c r="B142" s="12">
        <v>17</v>
      </c>
      <c r="C142" s="12">
        <v>0</v>
      </c>
      <c r="D142" s="12">
        <v>15</v>
      </c>
      <c r="E142" s="12">
        <v>2</v>
      </c>
      <c r="F142" s="12">
        <v>53237</v>
      </c>
      <c r="G142" s="6" t="s">
        <v>198</v>
      </c>
      <c r="H142" s="13">
        <v>43914</v>
      </c>
      <c r="I142">
        <f t="shared" si="6"/>
        <v>0</v>
      </c>
      <c r="J142">
        <f t="shared" si="7"/>
        <v>88.235294117647058</v>
      </c>
      <c r="K142">
        <f t="shared" si="8"/>
        <v>3.1932678400360653E-2</v>
      </c>
      <c r="L142" t="str" cm="1">
        <f t="array" ref="L142">_xlfn.IFS(I142&gt;5,"high risk",I142&lt;2,"low risk",AND(I142&lt;=5,I142&gt;=2),"moderate risk")</f>
        <v>low risk</v>
      </c>
      <c r="M142" cm="1">
        <f t="array" ref="M142">_xlfn.IFS(L142="low risk",1,L142="moderate risk",2,L142="high risk",3)</f>
        <v>1</v>
      </c>
    </row>
    <row r="143" spans="1:13" ht="18" customHeight="1" x14ac:dyDescent="0.35">
      <c r="A143" s="7" t="s">
        <v>145</v>
      </c>
      <c r="B143" s="14">
        <v>24</v>
      </c>
      <c r="C143" s="14">
        <v>0</v>
      </c>
      <c r="D143" s="14">
        <v>22</v>
      </c>
      <c r="E143" s="14">
        <v>2</v>
      </c>
      <c r="F143" s="14">
        <v>183712</v>
      </c>
      <c r="G143" s="7" t="s">
        <v>198</v>
      </c>
      <c r="H143" s="15">
        <v>43903</v>
      </c>
      <c r="I143">
        <f t="shared" si="6"/>
        <v>0</v>
      </c>
      <c r="J143">
        <f t="shared" si="7"/>
        <v>91.666666666666657</v>
      </c>
      <c r="K143">
        <f t="shared" si="8"/>
        <v>1.306392614527086E-2</v>
      </c>
      <c r="L143" t="str" cm="1">
        <f t="array" ref="L143">_xlfn.IFS(I143&gt;5,"high risk",I143&lt;2,"low risk",AND(I143&lt;=5,I143&gt;=2),"moderate risk")</f>
        <v>low risk</v>
      </c>
      <c r="M143" cm="1">
        <f t="array" ref="M143">_xlfn.IFS(L143="low risk",1,L143="moderate risk",2,L143="high risk",3)</f>
        <v>1</v>
      </c>
    </row>
    <row r="144" spans="1:13" ht="18" customHeight="1" x14ac:dyDescent="0.35">
      <c r="A144" s="6" t="s">
        <v>146</v>
      </c>
      <c r="B144" s="12">
        <v>52</v>
      </c>
      <c r="C144" s="12">
        <v>0</v>
      </c>
      <c r="D144" s="12">
        <v>39</v>
      </c>
      <c r="E144" s="12">
        <v>13</v>
      </c>
      <c r="F144" s="16">
        <v>104000</v>
      </c>
      <c r="G144" s="6" t="s">
        <v>198</v>
      </c>
      <c r="H144" s="13">
        <v>43901</v>
      </c>
      <c r="I144">
        <f t="shared" si="6"/>
        <v>0</v>
      </c>
      <c r="J144">
        <f t="shared" si="7"/>
        <v>75</v>
      </c>
      <c r="K144">
        <f t="shared" si="8"/>
        <v>0.05</v>
      </c>
      <c r="L144" t="str" cm="1">
        <f t="array" ref="L144">_xlfn.IFS(I144&gt;5,"high risk",I144&lt;2,"low risk",AND(I144&lt;=5,I144&gt;=2),"moderate risk")</f>
        <v>low risk</v>
      </c>
      <c r="M144" cm="1">
        <f t="array" ref="M144">_xlfn.IFS(L144="low risk",1,L144="moderate risk",2,L144="high risk",3)</f>
        <v>1</v>
      </c>
    </row>
    <row r="145" spans="1:13" ht="18" customHeight="1" x14ac:dyDescent="0.35">
      <c r="A145" s="7" t="s">
        <v>147</v>
      </c>
      <c r="B145" s="14">
        <v>699</v>
      </c>
      <c r="C145" s="14">
        <v>42</v>
      </c>
      <c r="D145" s="14">
        <v>657</v>
      </c>
      <c r="E145" s="14">
        <v>0</v>
      </c>
      <c r="F145" s="14">
        <v>33938</v>
      </c>
      <c r="G145" s="7" t="s">
        <v>196</v>
      </c>
      <c r="H145" s="15">
        <v>43888</v>
      </c>
      <c r="I145">
        <f t="shared" si="6"/>
        <v>6.0085836909871242</v>
      </c>
      <c r="J145">
        <f t="shared" si="7"/>
        <v>93.991416309012877</v>
      </c>
      <c r="K145">
        <f t="shared" si="8"/>
        <v>2.0596381637102956</v>
      </c>
      <c r="L145" t="str" cm="1">
        <f t="array" ref="L145">_xlfn.IFS(I145&gt;5,"high risk",I145&lt;2,"low risk",AND(I145&lt;=5,I145&gt;=2),"moderate risk")</f>
        <v>high risk</v>
      </c>
      <c r="M145" cm="1">
        <f t="array" ref="M145">_xlfn.IFS(L145="low risk",1,L145="moderate risk",2,L145="high risk",3)</f>
        <v>3</v>
      </c>
    </row>
    <row r="146" spans="1:13" ht="18" customHeight="1" x14ac:dyDescent="0.35">
      <c r="A146" s="6" t="s">
        <v>148</v>
      </c>
      <c r="B146" s="12">
        <v>865</v>
      </c>
      <c r="C146" s="12">
        <v>14</v>
      </c>
      <c r="D146" s="12">
        <v>734</v>
      </c>
      <c r="E146" s="12">
        <v>117</v>
      </c>
      <c r="F146" s="12">
        <v>219544</v>
      </c>
      <c r="G146" s="6" t="s">
        <v>197</v>
      </c>
      <c r="H146" s="13">
        <v>43927</v>
      </c>
      <c r="I146">
        <f t="shared" si="6"/>
        <v>1.6184971098265895</v>
      </c>
      <c r="J146">
        <f t="shared" si="7"/>
        <v>84.855491329479776</v>
      </c>
      <c r="K146">
        <f t="shared" si="8"/>
        <v>0.39399846955507783</v>
      </c>
      <c r="L146" t="str" cm="1">
        <f t="array" ref="L146">_xlfn.IFS(I146&gt;5,"high risk",I146&lt;2,"low risk",AND(I146&lt;=5,I146&gt;=2),"moderate risk")</f>
        <v>low risk</v>
      </c>
      <c r="M146" cm="1">
        <f t="array" ref="M146">_xlfn.IFS(L146="low risk",1,L146="moderate risk",2,L146="high risk",3)</f>
        <v>1</v>
      </c>
    </row>
    <row r="147" spans="1:13" ht="18" customHeight="1" x14ac:dyDescent="0.35">
      <c r="A147" s="7" t="s">
        <v>149</v>
      </c>
      <c r="B147" s="14">
        <v>268934</v>
      </c>
      <c r="C147" s="14">
        <v>2760</v>
      </c>
      <c r="D147" s="14">
        <v>222936</v>
      </c>
      <c r="E147" s="14">
        <v>43238</v>
      </c>
      <c r="F147" s="14">
        <v>34865919</v>
      </c>
      <c r="G147" s="7" t="s">
        <v>195</v>
      </c>
      <c r="H147" s="15">
        <v>43892</v>
      </c>
      <c r="I147">
        <f t="shared" si="6"/>
        <v>1.0262741044271086</v>
      </c>
      <c r="J147">
        <f t="shared" si="7"/>
        <v>82.89617526976879</v>
      </c>
      <c r="K147">
        <f t="shared" si="8"/>
        <v>0.77133776396371478</v>
      </c>
      <c r="L147" t="str" cm="1">
        <f t="array" ref="L147">_xlfn.IFS(I147&gt;5,"high risk",I147&lt;2,"low risk",AND(I147&lt;=5,I147&gt;=2),"moderate risk")</f>
        <v>low risk</v>
      </c>
      <c r="M147" cm="1">
        <f t="array" ref="M147">_xlfn.IFS(L147="low risk",1,L147="moderate risk",2,L147="high risk",3)</f>
        <v>1</v>
      </c>
    </row>
    <row r="148" spans="1:13" ht="18" customHeight="1" x14ac:dyDescent="0.35">
      <c r="A148" s="6" t="s">
        <v>150</v>
      </c>
      <c r="B148" s="12">
        <v>9764</v>
      </c>
      <c r="C148" s="12">
        <v>194</v>
      </c>
      <c r="D148" s="12">
        <v>6477</v>
      </c>
      <c r="E148" s="12">
        <v>3093</v>
      </c>
      <c r="F148" s="12">
        <v>16783877</v>
      </c>
      <c r="G148" s="6" t="s">
        <v>197</v>
      </c>
      <c r="H148" s="13">
        <v>43892</v>
      </c>
      <c r="I148">
        <f t="shared" si="6"/>
        <v>1.9868906185989348</v>
      </c>
      <c r="J148">
        <f t="shared" si="7"/>
        <v>66.335518230233518</v>
      </c>
      <c r="K148">
        <f t="shared" si="8"/>
        <v>5.8174878188156406E-2</v>
      </c>
      <c r="L148" t="str" cm="1">
        <f t="array" ref="L148">_xlfn.IFS(I148&gt;5,"high risk",I148&lt;2,"low risk",AND(I148&lt;=5,I148&gt;=2),"moderate risk")</f>
        <v>low risk</v>
      </c>
      <c r="M148" cm="1">
        <f t="array" ref="M148">_xlfn.IFS(L148="low risk",1,L148="moderate risk",2,L148="high risk",3)</f>
        <v>1</v>
      </c>
    </row>
    <row r="149" spans="1:13" ht="18" customHeight="1" x14ac:dyDescent="0.35">
      <c r="A149" s="7" t="s">
        <v>151</v>
      </c>
      <c r="B149" s="14">
        <v>24141</v>
      </c>
      <c r="C149" s="14">
        <v>543</v>
      </c>
      <c r="D149" s="14">
        <v>0</v>
      </c>
      <c r="E149" s="14">
        <v>23598</v>
      </c>
      <c r="F149" s="14">
        <v>8733665</v>
      </c>
      <c r="G149" s="7" t="s">
        <v>196</v>
      </c>
      <c r="H149" s="15">
        <v>43896</v>
      </c>
      <c r="I149">
        <f t="shared" si="6"/>
        <v>2.2492854479930409</v>
      </c>
      <c r="J149">
        <f t="shared" si="7"/>
        <v>0</v>
      </c>
      <c r="K149">
        <f t="shared" si="8"/>
        <v>0.27641316675187333</v>
      </c>
      <c r="L149" t="str" cm="1">
        <f t="array" ref="L149">_xlfn.IFS(I149&gt;5,"high risk",I149&lt;2,"low risk",AND(I149&lt;=5,I149&gt;=2),"moderate risk")</f>
        <v>moderate risk</v>
      </c>
      <c r="M149" cm="1">
        <f t="array" ref="M149">_xlfn.IFS(L149="low risk",1,L149="moderate risk",2,L149="high risk",3)</f>
        <v>2</v>
      </c>
    </row>
    <row r="150" spans="1:13" ht="18" customHeight="1" x14ac:dyDescent="0.35">
      <c r="A150" s="6" t="s">
        <v>152</v>
      </c>
      <c r="B150" s="12">
        <v>114</v>
      </c>
      <c r="C150" s="12">
        <v>0</v>
      </c>
      <c r="D150" s="12">
        <v>39</v>
      </c>
      <c r="E150" s="12">
        <v>75</v>
      </c>
      <c r="F150" s="12">
        <v>98408</v>
      </c>
      <c r="G150" s="6" t="s">
        <v>197</v>
      </c>
      <c r="H150" s="13">
        <v>43904</v>
      </c>
      <c r="I150">
        <f t="shared" si="6"/>
        <v>0</v>
      </c>
      <c r="J150">
        <f t="shared" si="7"/>
        <v>34.210526315789473</v>
      </c>
      <c r="K150">
        <f t="shared" si="8"/>
        <v>0.1158442403056662</v>
      </c>
      <c r="L150" t="str" cm="1">
        <f t="array" ref="L150">_xlfn.IFS(I150&gt;5,"high risk",I150&lt;2,"low risk",AND(I150&lt;=5,I150&gt;=2),"moderate risk")</f>
        <v>low risk</v>
      </c>
      <c r="M150" cm="1">
        <f t="array" ref="M150">_xlfn.IFS(L150="low risk",1,L150="moderate risk",2,L150="high risk",3)</f>
        <v>1</v>
      </c>
    </row>
    <row r="151" spans="1:13" ht="18" customHeight="1" x14ac:dyDescent="0.35">
      <c r="A151" s="7" t="s">
        <v>153</v>
      </c>
      <c r="B151" s="14">
        <v>1783</v>
      </c>
      <c r="C151" s="14">
        <v>66</v>
      </c>
      <c r="D151" s="14">
        <v>1317</v>
      </c>
      <c r="E151" s="14">
        <v>400</v>
      </c>
      <c r="F151" s="14">
        <v>7992169</v>
      </c>
      <c r="G151" s="7" t="s">
        <v>197</v>
      </c>
      <c r="H151" s="15">
        <v>43921</v>
      </c>
      <c r="I151">
        <f t="shared" si="6"/>
        <v>3.7016264722378009</v>
      </c>
      <c r="J151">
        <f t="shared" si="7"/>
        <v>73.864273696017946</v>
      </c>
      <c r="K151">
        <f t="shared" si="8"/>
        <v>2.2309338053286911E-2</v>
      </c>
      <c r="L151" t="str" cm="1">
        <f t="array" ref="L151">_xlfn.IFS(I151&gt;5,"high risk",I151&lt;2,"low risk",AND(I151&lt;=5,I151&gt;=2),"moderate risk")</f>
        <v>moderate risk</v>
      </c>
      <c r="M151" cm="1">
        <f t="array" ref="M151">_xlfn.IFS(L151="low risk",1,L151="moderate risk",2,L151="high risk",3)</f>
        <v>2</v>
      </c>
    </row>
    <row r="152" spans="1:13" ht="18" customHeight="1" x14ac:dyDescent="0.35">
      <c r="A152" s="6" t="s">
        <v>154</v>
      </c>
      <c r="B152" s="12">
        <v>50838</v>
      </c>
      <c r="C152" s="12">
        <v>27</v>
      </c>
      <c r="D152" s="12">
        <v>45692</v>
      </c>
      <c r="E152" s="12">
        <v>5119</v>
      </c>
      <c r="F152" s="12">
        <v>5854932</v>
      </c>
      <c r="G152" s="6" t="s">
        <v>195</v>
      </c>
      <c r="H152" s="13">
        <v>43853</v>
      </c>
      <c r="I152">
        <f t="shared" si="6"/>
        <v>5.3109878437389353E-2</v>
      </c>
      <c r="J152">
        <f t="shared" si="7"/>
        <v>89.877650576340528</v>
      </c>
      <c r="K152">
        <f t="shared" si="8"/>
        <v>0.86829360272672684</v>
      </c>
      <c r="L152" t="str" cm="1">
        <f t="array" ref="L152">_xlfn.IFS(I152&gt;5,"high risk",I152&lt;2,"low risk",AND(I152&lt;=5,I152&gt;=2),"moderate risk")</f>
        <v>low risk</v>
      </c>
      <c r="M152" cm="1">
        <f t="array" ref="M152">_xlfn.IFS(L152="low risk",1,L152="moderate risk",2,L152="high risk",3)</f>
        <v>1</v>
      </c>
    </row>
    <row r="153" spans="1:13" ht="18" customHeight="1" x14ac:dyDescent="0.35">
      <c r="A153" s="7" t="s">
        <v>155</v>
      </c>
      <c r="B153" s="14">
        <v>2181</v>
      </c>
      <c r="C153" s="14">
        <v>28</v>
      </c>
      <c r="D153" s="14">
        <v>1616</v>
      </c>
      <c r="E153" s="14">
        <v>537</v>
      </c>
      <c r="F153" s="14">
        <v>5459915</v>
      </c>
      <c r="G153" s="7" t="s">
        <v>196</v>
      </c>
      <c r="H153" s="15">
        <v>43896</v>
      </c>
      <c r="I153">
        <f t="shared" si="6"/>
        <v>1.2838147638697845</v>
      </c>
      <c r="J153">
        <f t="shared" si="7"/>
        <v>74.094452086198999</v>
      </c>
      <c r="K153">
        <f t="shared" si="8"/>
        <v>3.9945676809986973E-2</v>
      </c>
      <c r="L153" t="str" cm="1">
        <f t="array" ref="L153">_xlfn.IFS(I153&gt;5,"high risk",I153&lt;2,"low risk",AND(I153&lt;=5,I153&gt;=2),"moderate risk")</f>
        <v>low risk</v>
      </c>
      <c r="M153" cm="1">
        <f t="array" ref="M153">_xlfn.IFS(L153="low risk",1,L153="moderate risk",2,L153="high risk",3)</f>
        <v>1</v>
      </c>
    </row>
    <row r="154" spans="1:13" ht="18" customHeight="1" x14ac:dyDescent="0.35">
      <c r="A154" s="6" t="s">
        <v>156</v>
      </c>
      <c r="B154" s="12">
        <v>2087</v>
      </c>
      <c r="C154" s="12">
        <v>116</v>
      </c>
      <c r="D154" s="12">
        <v>1733</v>
      </c>
      <c r="E154" s="12">
        <v>238</v>
      </c>
      <c r="F154" s="12">
        <v>2078968</v>
      </c>
      <c r="G154" s="6" t="s">
        <v>196</v>
      </c>
      <c r="H154" s="13">
        <v>43894</v>
      </c>
      <c r="I154">
        <f t="shared" si="6"/>
        <v>5.5582175371346434</v>
      </c>
      <c r="J154">
        <f t="shared" si="7"/>
        <v>83.037853378054621</v>
      </c>
      <c r="K154">
        <f t="shared" si="8"/>
        <v>0.10038634553297598</v>
      </c>
      <c r="L154" t="str" cm="1">
        <f t="array" ref="L154">_xlfn.IFS(I154&gt;5,"high risk",I154&lt;2,"low risk",AND(I154&lt;=5,I154&gt;=2),"moderate risk")</f>
        <v>high risk</v>
      </c>
      <c r="M154" cm="1">
        <f t="array" ref="M154">_xlfn.IFS(L154="low risk",1,L154="moderate risk",2,L154="high risk",3)</f>
        <v>3</v>
      </c>
    </row>
    <row r="155" spans="1:13" ht="18" customHeight="1" x14ac:dyDescent="0.35">
      <c r="A155" s="7" t="s">
        <v>157</v>
      </c>
      <c r="B155" s="14">
        <v>3196</v>
      </c>
      <c r="C155" s="14">
        <v>93</v>
      </c>
      <c r="D155" s="14">
        <v>1543</v>
      </c>
      <c r="E155" s="14">
        <v>1560</v>
      </c>
      <c r="F155" s="14">
        <v>15933012</v>
      </c>
      <c r="G155" s="7" t="s">
        <v>197</v>
      </c>
      <c r="H155" s="15">
        <v>43906</v>
      </c>
      <c r="I155">
        <f t="shared" si="6"/>
        <v>2.9098873591989989</v>
      </c>
      <c r="J155">
        <f t="shared" si="7"/>
        <v>48.279098873591991</v>
      </c>
      <c r="K155">
        <f t="shared" si="8"/>
        <v>2.0058981942648383E-2</v>
      </c>
      <c r="L155" t="str" cm="1">
        <f t="array" ref="L155">_xlfn.IFS(I155&gt;5,"high risk",I155&lt;2,"low risk",AND(I155&lt;=5,I155&gt;=2),"moderate risk")</f>
        <v>moderate risk</v>
      </c>
      <c r="M155" cm="1">
        <f t="array" ref="M155">_xlfn.IFS(L155="low risk",1,L155="moderate risk",2,L155="high risk",3)</f>
        <v>2</v>
      </c>
    </row>
    <row r="156" spans="1:13" ht="18" customHeight="1" x14ac:dyDescent="0.35">
      <c r="A156" s="6" t="s">
        <v>158</v>
      </c>
      <c r="B156" s="12">
        <v>452529</v>
      </c>
      <c r="C156" s="12">
        <v>7067</v>
      </c>
      <c r="D156" s="12">
        <v>274925</v>
      </c>
      <c r="E156" s="12">
        <v>170537</v>
      </c>
      <c r="F156" s="12">
        <v>59381566</v>
      </c>
      <c r="G156" s="6" t="s">
        <v>197</v>
      </c>
      <c r="H156" s="13">
        <v>43895</v>
      </c>
      <c r="I156">
        <f t="shared" si="6"/>
        <v>1.5616678710093719</v>
      </c>
      <c r="J156">
        <f t="shared" si="7"/>
        <v>60.753012514115113</v>
      </c>
      <c r="K156">
        <f t="shared" si="8"/>
        <v>0.76206983157028907</v>
      </c>
      <c r="L156" t="str" cm="1">
        <f t="array" ref="L156">_xlfn.IFS(I156&gt;5,"high risk",I156&lt;2,"low risk",AND(I156&lt;=5,I156&gt;=2),"moderate risk")</f>
        <v>low risk</v>
      </c>
      <c r="M156" cm="1">
        <f t="array" ref="M156">_xlfn.IFS(L156="low risk",1,L156="moderate risk",2,L156="high risk",3)</f>
        <v>1</v>
      </c>
    </row>
    <row r="157" spans="1:13" ht="18" customHeight="1" x14ac:dyDescent="0.35">
      <c r="A157" s="7" t="s">
        <v>159</v>
      </c>
      <c r="B157" s="14">
        <v>14203</v>
      </c>
      <c r="C157" s="14">
        <v>300</v>
      </c>
      <c r="D157" s="14">
        <v>13007</v>
      </c>
      <c r="E157" s="14">
        <v>896</v>
      </c>
      <c r="F157" s="14">
        <v>51273732</v>
      </c>
      <c r="G157" s="7" t="s">
        <v>195</v>
      </c>
      <c r="H157" s="15">
        <v>43850</v>
      </c>
      <c r="I157">
        <f t="shared" si="6"/>
        <v>2.1122298106033934</v>
      </c>
      <c r="J157">
        <f t="shared" si="7"/>
        <v>91.5792438217278</v>
      </c>
      <c r="K157">
        <f t="shared" si="8"/>
        <v>2.7700343715959665E-2</v>
      </c>
      <c r="L157" t="str" cm="1">
        <f t="array" ref="L157">_xlfn.IFS(I157&gt;5,"high risk",I157&lt;2,"low risk",AND(I157&lt;=5,I157&gt;=2),"moderate risk")</f>
        <v>moderate risk</v>
      </c>
      <c r="M157" cm="1">
        <f t="array" ref="M157">_xlfn.IFS(L157="low risk",1,L157="moderate risk",2,L157="high risk",3)</f>
        <v>2</v>
      </c>
    </row>
    <row r="158" spans="1:13" ht="18" customHeight="1" x14ac:dyDescent="0.35">
      <c r="A158" s="6" t="s">
        <v>160</v>
      </c>
      <c r="B158" s="12">
        <v>2305</v>
      </c>
      <c r="C158" s="12">
        <v>46</v>
      </c>
      <c r="D158" s="12">
        <v>1175</v>
      </c>
      <c r="E158" s="12">
        <v>1084</v>
      </c>
      <c r="F158" s="12">
        <v>11206572</v>
      </c>
      <c r="G158" s="6" t="s">
        <v>197</v>
      </c>
      <c r="H158" s="13">
        <v>43926</v>
      </c>
      <c r="I158">
        <f t="shared" si="6"/>
        <v>1.9956616052060738</v>
      </c>
      <c r="J158">
        <f t="shared" si="7"/>
        <v>50.97613882863341</v>
      </c>
      <c r="K158">
        <f t="shared" si="8"/>
        <v>2.0568287965311783E-2</v>
      </c>
      <c r="L158" t="str" cm="1">
        <f t="array" ref="L158">_xlfn.IFS(I158&gt;5,"high risk",I158&lt;2,"low risk",AND(I158&lt;=5,I158&gt;=2),"moderate risk")</f>
        <v>low risk</v>
      </c>
      <c r="M158" cm="1">
        <f t="array" ref="M158">_xlfn.IFS(L158="low risk",1,L158="moderate risk",2,L158="high risk",3)</f>
        <v>1</v>
      </c>
    </row>
    <row r="159" spans="1:13" ht="18" customHeight="1" x14ac:dyDescent="0.35">
      <c r="A159" s="7" t="s">
        <v>161</v>
      </c>
      <c r="B159" s="14">
        <v>272421</v>
      </c>
      <c r="C159" s="14">
        <v>28432</v>
      </c>
      <c r="D159" s="14">
        <v>150376</v>
      </c>
      <c r="E159" s="14">
        <v>93613</v>
      </c>
      <c r="F159" s="14">
        <v>46756648</v>
      </c>
      <c r="G159" s="7" t="s">
        <v>196</v>
      </c>
      <c r="H159" s="15">
        <v>43861</v>
      </c>
      <c r="I159">
        <f t="shared" si="6"/>
        <v>10.436787178668311</v>
      </c>
      <c r="J159">
        <f t="shared" si="7"/>
        <v>55.199856105072662</v>
      </c>
      <c r="K159">
        <f t="shared" si="8"/>
        <v>0.58263586388827537</v>
      </c>
      <c r="L159" t="str" cm="1">
        <f t="array" ref="L159">_xlfn.IFS(I159&gt;5,"high risk",I159&lt;2,"low risk",AND(I159&lt;=5,I159&gt;=2),"moderate risk")</f>
        <v>high risk</v>
      </c>
      <c r="M159" cm="1">
        <f t="array" ref="M159">_xlfn.IFS(L159="low risk",1,L159="moderate risk",2,L159="high risk",3)</f>
        <v>3</v>
      </c>
    </row>
    <row r="160" spans="1:13" ht="18" customHeight="1" x14ac:dyDescent="0.35">
      <c r="A160" s="6" t="s">
        <v>162</v>
      </c>
      <c r="B160" s="12">
        <v>2805</v>
      </c>
      <c r="C160" s="12">
        <v>11</v>
      </c>
      <c r="D160" s="12">
        <v>2121</v>
      </c>
      <c r="E160" s="12">
        <v>673</v>
      </c>
      <c r="F160" s="12">
        <v>21422362</v>
      </c>
      <c r="G160" s="6" t="s">
        <v>195</v>
      </c>
      <c r="H160" s="13">
        <v>43857</v>
      </c>
      <c r="I160">
        <f t="shared" si="6"/>
        <v>0.39215686274509803</v>
      </c>
      <c r="J160">
        <f t="shared" si="7"/>
        <v>75.61497326203208</v>
      </c>
      <c r="K160">
        <f t="shared" si="8"/>
        <v>1.3093794232400705E-2</v>
      </c>
      <c r="L160" t="str" cm="1">
        <f t="array" ref="L160">_xlfn.IFS(I160&gt;5,"high risk",I160&lt;2,"low risk",AND(I160&lt;=5,I160&gt;=2),"moderate risk")</f>
        <v>low risk</v>
      </c>
      <c r="M160" cm="1">
        <f t="array" ref="M160">_xlfn.IFS(L160="low risk",1,L160="moderate risk",2,L160="high risk",3)</f>
        <v>1</v>
      </c>
    </row>
    <row r="161" spans="1:13" ht="18" customHeight="1" x14ac:dyDescent="0.35">
      <c r="A161" s="7" t="s">
        <v>163</v>
      </c>
      <c r="B161" s="14">
        <v>11424</v>
      </c>
      <c r="C161" s="14">
        <v>720</v>
      </c>
      <c r="D161" s="14">
        <v>5939</v>
      </c>
      <c r="E161" s="14">
        <v>4765</v>
      </c>
      <c r="F161" s="14">
        <v>43943536</v>
      </c>
      <c r="G161" s="7" t="s">
        <v>197</v>
      </c>
      <c r="H161" s="15">
        <v>43903</v>
      </c>
      <c r="I161">
        <f t="shared" si="6"/>
        <v>6.3025210084033612</v>
      </c>
      <c r="J161">
        <f t="shared" si="7"/>
        <v>51.987044817927178</v>
      </c>
      <c r="K161">
        <f t="shared" si="8"/>
        <v>2.5996997601649537E-2</v>
      </c>
      <c r="L161" t="str" cm="1">
        <f t="array" ref="L161">_xlfn.IFS(I161&gt;5,"high risk",I161&lt;2,"low risk",AND(I161&lt;=5,I161&gt;=2),"moderate risk")</f>
        <v>high risk</v>
      </c>
      <c r="M161" cm="1">
        <f t="array" ref="M161">_xlfn.IFS(L161="low risk",1,L161="moderate risk",2,L161="high risk",3)</f>
        <v>3</v>
      </c>
    </row>
    <row r="162" spans="1:13" ht="18" customHeight="1" x14ac:dyDescent="0.35">
      <c r="A162" s="6" t="s">
        <v>164</v>
      </c>
      <c r="B162" s="12">
        <v>1483</v>
      </c>
      <c r="C162" s="12">
        <v>24</v>
      </c>
      <c r="D162" s="12">
        <v>925</v>
      </c>
      <c r="E162" s="12">
        <v>534</v>
      </c>
      <c r="F162" s="12">
        <v>587154</v>
      </c>
      <c r="G162" s="6" t="s">
        <v>199</v>
      </c>
      <c r="H162" s="13">
        <v>43903</v>
      </c>
      <c r="I162">
        <f t="shared" si="6"/>
        <v>1.6183412002697235</v>
      </c>
      <c r="J162">
        <f t="shared" si="7"/>
        <v>62.37356709372893</v>
      </c>
      <c r="K162">
        <f t="shared" si="8"/>
        <v>0.25257428204525556</v>
      </c>
      <c r="L162" t="str" cm="1">
        <f t="array" ref="L162">_xlfn.IFS(I162&gt;5,"high risk",I162&lt;2,"low risk",AND(I162&lt;=5,I162&gt;=2),"moderate risk")</f>
        <v>low risk</v>
      </c>
      <c r="M162" cm="1">
        <f t="array" ref="M162">_xlfn.IFS(L162="low risk",1,L162="moderate risk",2,L162="high risk",3)</f>
        <v>1</v>
      </c>
    </row>
    <row r="163" spans="1:13" ht="18" customHeight="1" x14ac:dyDescent="0.35">
      <c r="A163" s="7" t="s">
        <v>165</v>
      </c>
      <c r="B163" s="14">
        <v>79395</v>
      </c>
      <c r="C163" s="14">
        <v>5700</v>
      </c>
      <c r="D163" s="14">
        <v>0</v>
      </c>
      <c r="E163" s="14">
        <v>73695</v>
      </c>
      <c r="F163" s="14">
        <v>10105596</v>
      </c>
      <c r="G163" s="7" t="s">
        <v>196</v>
      </c>
      <c r="H163" s="15">
        <v>43861</v>
      </c>
      <c r="I163">
        <f t="shared" si="6"/>
        <v>7.1792934063857921</v>
      </c>
      <c r="J163">
        <f t="shared" si="7"/>
        <v>0</v>
      </c>
      <c r="K163">
        <f t="shared" si="8"/>
        <v>0.78565381002763213</v>
      </c>
      <c r="L163" t="str" cm="1">
        <f t="array" ref="L163">_xlfn.IFS(I163&gt;5,"high risk",I163&lt;2,"low risk",AND(I163&lt;=5,I163&gt;=2),"moderate risk")</f>
        <v>high risk</v>
      </c>
      <c r="M163" cm="1">
        <f t="array" ref="M163">_xlfn.IFS(L163="low risk",1,L163="moderate risk",2,L163="high risk",3)</f>
        <v>3</v>
      </c>
    </row>
    <row r="164" spans="1:13" ht="18" customHeight="1" x14ac:dyDescent="0.35">
      <c r="A164" s="6" t="s">
        <v>166</v>
      </c>
      <c r="B164" s="12">
        <v>34477</v>
      </c>
      <c r="C164" s="12">
        <v>1978</v>
      </c>
      <c r="D164" s="12">
        <v>30900</v>
      </c>
      <c r="E164" s="12">
        <v>1599</v>
      </c>
      <c r="F164" s="12">
        <v>8660952</v>
      </c>
      <c r="G164" s="6" t="s">
        <v>196</v>
      </c>
      <c r="H164" s="13">
        <v>43886</v>
      </c>
      <c r="I164">
        <f t="shared" si="6"/>
        <v>5.7371581054036023</v>
      </c>
      <c r="J164">
        <f t="shared" si="7"/>
        <v>89.624967369550717</v>
      </c>
      <c r="K164">
        <f t="shared" si="8"/>
        <v>0.39807402234765876</v>
      </c>
      <c r="L164" t="str" cm="1">
        <f t="array" ref="L164">_xlfn.IFS(I164&gt;5,"high risk",I164&lt;2,"low risk",AND(I164&lt;=5,I164&gt;=2),"moderate risk")</f>
        <v>high risk</v>
      </c>
      <c r="M164" cm="1">
        <f t="array" ref="M164">_xlfn.IFS(L164="low risk",1,L164="moderate risk",2,L164="high risk",3)</f>
        <v>3</v>
      </c>
    </row>
    <row r="165" spans="1:13" ht="18" customHeight="1" x14ac:dyDescent="0.35">
      <c r="A165" s="7" t="s">
        <v>167</v>
      </c>
      <c r="B165" s="14">
        <v>674</v>
      </c>
      <c r="C165" s="14">
        <v>40</v>
      </c>
      <c r="D165" s="14">
        <v>0</v>
      </c>
      <c r="E165" s="14">
        <v>634</v>
      </c>
      <c r="F165" s="14">
        <v>17539600</v>
      </c>
      <c r="G165" s="7" t="s">
        <v>195</v>
      </c>
      <c r="H165" s="15">
        <v>43912</v>
      </c>
      <c r="I165">
        <f t="shared" si="6"/>
        <v>5.9347181008902083</v>
      </c>
      <c r="J165">
        <f t="shared" si="7"/>
        <v>0</v>
      </c>
      <c r="K165">
        <f t="shared" si="8"/>
        <v>3.8427330155761815E-3</v>
      </c>
      <c r="L165" t="str" cm="1">
        <f t="array" ref="L165">_xlfn.IFS(I165&gt;5,"high risk",I165&lt;2,"low risk",AND(I165&lt;=5,I165&gt;=2),"moderate risk")</f>
        <v>high risk</v>
      </c>
      <c r="M165" cm="1">
        <f t="array" ref="M165">_xlfn.IFS(L165="low risk",1,L165="moderate risk",2,L165="high risk",3)</f>
        <v>3</v>
      </c>
    </row>
    <row r="166" spans="1:13" ht="18" customHeight="1" x14ac:dyDescent="0.35">
      <c r="A166" s="6" t="s">
        <v>190</v>
      </c>
      <c r="B166" s="12">
        <v>462</v>
      </c>
      <c r="C166" s="12">
        <v>7</v>
      </c>
      <c r="D166" s="12">
        <v>440</v>
      </c>
      <c r="E166" s="12">
        <v>15</v>
      </c>
      <c r="F166" s="12">
        <v>23821199</v>
      </c>
      <c r="G166" s="6" t="s">
        <v>195</v>
      </c>
      <c r="H166" s="13">
        <v>43851</v>
      </c>
      <c r="I166">
        <f t="shared" si="6"/>
        <v>1.5151515151515151</v>
      </c>
      <c r="J166">
        <f t="shared" si="7"/>
        <v>95.238095238095227</v>
      </c>
      <c r="K166">
        <f t="shared" si="8"/>
        <v>1.9394489756791838E-3</v>
      </c>
      <c r="L166" t="str" cm="1">
        <f t="array" ref="L166">_xlfn.IFS(I166&gt;5,"high risk",I166&lt;2,"low risk",AND(I166&lt;=5,I166&gt;=2),"moderate risk")</f>
        <v>low risk</v>
      </c>
      <c r="M166" cm="1">
        <f t="array" ref="M166">_xlfn.IFS(L166="low risk",1,L166="moderate risk",2,L166="high risk",3)</f>
        <v>1</v>
      </c>
    </row>
    <row r="167" spans="1:13" ht="18" customHeight="1" x14ac:dyDescent="0.35">
      <c r="A167" s="7" t="s">
        <v>168</v>
      </c>
      <c r="B167" s="14">
        <v>7235</v>
      </c>
      <c r="C167" s="14">
        <v>60</v>
      </c>
      <c r="D167" s="14">
        <v>6028</v>
      </c>
      <c r="E167" s="14">
        <v>1147</v>
      </c>
      <c r="F167" s="14">
        <v>9557468</v>
      </c>
      <c r="G167" s="7" t="s">
        <v>195</v>
      </c>
      <c r="H167" s="15">
        <v>43951</v>
      </c>
      <c r="I167">
        <f t="shared" si="6"/>
        <v>0.82930200414651001</v>
      </c>
      <c r="J167">
        <f t="shared" si="7"/>
        <v>83.317208016586036</v>
      </c>
      <c r="K167">
        <f t="shared" si="8"/>
        <v>7.5699965723139223E-2</v>
      </c>
      <c r="L167" t="str" cm="1">
        <f t="array" ref="L167">_xlfn.IFS(I167&gt;5,"high risk",I167&lt;2,"low risk",AND(I167&lt;=5,I167&gt;=2),"moderate risk")</f>
        <v>low risk</v>
      </c>
      <c r="M167" cm="1">
        <f t="array" ref="M167">_xlfn.IFS(L167="low risk",1,L167="moderate risk",2,L167="high risk",3)</f>
        <v>1</v>
      </c>
    </row>
    <row r="168" spans="1:13" ht="18" customHeight="1" x14ac:dyDescent="0.35">
      <c r="A168" s="6" t="s">
        <v>169</v>
      </c>
      <c r="B168" s="12">
        <v>509</v>
      </c>
      <c r="C168" s="12">
        <v>21</v>
      </c>
      <c r="D168" s="12">
        <v>183</v>
      </c>
      <c r="E168" s="12">
        <v>305</v>
      </c>
      <c r="F168" s="12">
        <v>59886383</v>
      </c>
      <c r="G168" s="6" t="s">
        <v>197</v>
      </c>
      <c r="H168" s="13">
        <v>43906</v>
      </c>
      <c r="I168">
        <f t="shared" si="6"/>
        <v>4.1257367387033401</v>
      </c>
      <c r="J168">
        <f t="shared" si="7"/>
        <v>35.952848722986246</v>
      </c>
      <c r="K168">
        <f t="shared" si="8"/>
        <v>8.4994279918358066E-4</v>
      </c>
      <c r="L168" t="str" cm="1">
        <f t="array" ref="L168">_xlfn.IFS(I168&gt;5,"high risk",I168&lt;2,"low risk",AND(I168&lt;=5,I168&gt;=2),"moderate risk")</f>
        <v>moderate risk</v>
      </c>
      <c r="M168" cm="1">
        <f t="array" ref="M168">_xlfn.IFS(L168="low risk",1,L168="moderate risk",2,L168="high risk",3)</f>
        <v>2</v>
      </c>
    </row>
    <row r="169" spans="1:13" ht="18" customHeight="1" x14ac:dyDescent="0.35">
      <c r="A169" s="7" t="s">
        <v>170</v>
      </c>
      <c r="B169" s="14">
        <v>3297</v>
      </c>
      <c r="C169" s="14">
        <v>58</v>
      </c>
      <c r="D169" s="14">
        <v>3111</v>
      </c>
      <c r="E169" s="14">
        <v>128</v>
      </c>
      <c r="F169" s="14">
        <v>69817894</v>
      </c>
      <c r="G169" s="7" t="s">
        <v>195</v>
      </c>
      <c r="H169" s="15">
        <v>43843</v>
      </c>
      <c r="I169">
        <f t="shared" si="6"/>
        <v>1.7591750075826509</v>
      </c>
      <c r="J169">
        <f t="shared" si="7"/>
        <v>94.358507734303913</v>
      </c>
      <c r="K169">
        <f t="shared" si="8"/>
        <v>4.7222850921283879E-3</v>
      </c>
      <c r="L169" t="str" cm="1">
        <f t="array" ref="L169">_xlfn.IFS(I169&gt;5,"high risk",I169&lt;2,"low risk",AND(I169&lt;=5,I169&gt;=2),"moderate risk")</f>
        <v>low risk</v>
      </c>
      <c r="M169" cm="1">
        <f t="array" ref="M169">_xlfn.IFS(L169="low risk",1,L169="moderate risk",2,L169="high risk",3)</f>
        <v>1</v>
      </c>
    </row>
    <row r="170" spans="1:13" ht="18" customHeight="1" x14ac:dyDescent="0.35">
      <c r="A170" s="6" t="s">
        <v>171</v>
      </c>
      <c r="B170" s="12">
        <v>24</v>
      </c>
      <c r="C170" s="12">
        <v>0</v>
      </c>
      <c r="D170" s="12">
        <v>0</v>
      </c>
      <c r="E170" s="12">
        <v>24</v>
      </c>
      <c r="F170" s="12">
        <v>1320812</v>
      </c>
      <c r="G170" s="6" t="s">
        <v>195</v>
      </c>
      <c r="H170" s="13">
        <v>43911</v>
      </c>
      <c r="I170">
        <f t="shared" si="6"/>
        <v>0</v>
      </c>
      <c r="J170">
        <f t="shared" si="7"/>
        <v>0</v>
      </c>
      <c r="K170">
        <f t="shared" si="8"/>
        <v>1.8170640484792687E-3</v>
      </c>
      <c r="L170" t="str" cm="1">
        <f t="array" ref="L170">_xlfn.IFS(I170&gt;5,"high risk",I170&lt;2,"low risk",AND(I170&lt;=5,I170&gt;=2),"moderate risk")</f>
        <v>low risk</v>
      </c>
      <c r="M170" cm="1">
        <f t="array" ref="M170">_xlfn.IFS(L170="low risk",1,L170="moderate risk",2,L170="high risk",3)</f>
        <v>1</v>
      </c>
    </row>
    <row r="171" spans="1:13" ht="18" customHeight="1" x14ac:dyDescent="0.35">
      <c r="A171" s="7" t="s">
        <v>172</v>
      </c>
      <c r="B171" s="14">
        <v>874</v>
      </c>
      <c r="C171" s="14">
        <v>18</v>
      </c>
      <c r="D171" s="14">
        <v>607</v>
      </c>
      <c r="E171" s="14">
        <v>249</v>
      </c>
      <c r="F171" s="14">
        <v>8296582</v>
      </c>
      <c r="G171" s="7" t="s">
        <v>197</v>
      </c>
      <c r="H171" s="15">
        <v>43896</v>
      </c>
      <c r="I171">
        <f t="shared" si="6"/>
        <v>2.0594965675057209</v>
      </c>
      <c r="J171">
        <f t="shared" si="7"/>
        <v>69.450800915331811</v>
      </c>
      <c r="K171">
        <f t="shared" si="8"/>
        <v>1.0534458648151732E-2</v>
      </c>
      <c r="L171" t="str" cm="1">
        <f t="array" ref="L171">_xlfn.IFS(I171&gt;5,"high risk",I171&lt;2,"low risk",AND(I171&lt;=5,I171&gt;=2),"moderate risk")</f>
        <v>moderate risk</v>
      </c>
      <c r="M171" cm="1">
        <f t="array" ref="M171">_xlfn.IFS(L171="low risk",1,L171="moderate risk",2,L171="high risk",3)</f>
        <v>2</v>
      </c>
    </row>
    <row r="172" spans="1:13" ht="18" customHeight="1" x14ac:dyDescent="0.35">
      <c r="A172" s="6" t="s">
        <v>173</v>
      </c>
      <c r="B172" s="12">
        <v>148</v>
      </c>
      <c r="C172" s="12">
        <v>8</v>
      </c>
      <c r="D172" s="12">
        <v>128</v>
      </c>
      <c r="E172" s="12">
        <v>12</v>
      </c>
      <c r="F172" s="12">
        <v>1399950</v>
      </c>
      <c r="G172" s="6" t="s">
        <v>198</v>
      </c>
      <c r="H172" s="13">
        <v>43902</v>
      </c>
      <c r="I172">
        <f t="shared" si="6"/>
        <v>5.4054054054054053</v>
      </c>
      <c r="J172">
        <f t="shared" si="7"/>
        <v>86.486486486486484</v>
      </c>
      <c r="K172">
        <f t="shared" si="8"/>
        <v>1.0571806135933426E-2</v>
      </c>
      <c r="L172" t="str" cm="1">
        <f t="array" ref="L172">_xlfn.IFS(I172&gt;5,"high risk",I172&lt;2,"low risk",AND(I172&lt;=5,I172&gt;=2),"moderate risk")</f>
        <v>high risk</v>
      </c>
      <c r="M172" cm="1">
        <f t="array" ref="M172">_xlfn.IFS(L172="low risk",1,L172="moderate risk",2,L172="high risk",3)</f>
        <v>3</v>
      </c>
    </row>
    <row r="173" spans="1:13" ht="18" customHeight="1" x14ac:dyDescent="0.35">
      <c r="A173" s="7" t="s">
        <v>174</v>
      </c>
      <c r="B173" s="14">
        <v>1455</v>
      </c>
      <c r="C173" s="14">
        <v>50</v>
      </c>
      <c r="D173" s="14">
        <v>1157</v>
      </c>
      <c r="E173" s="14">
        <v>248</v>
      </c>
      <c r="F173" s="14">
        <v>11830801</v>
      </c>
      <c r="G173" s="7" t="s">
        <v>197</v>
      </c>
      <c r="H173" s="15">
        <v>43892</v>
      </c>
      <c r="I173">
        <f t="shared" si="6"/>
        <v>3.4364261168384882</v>
      </c>
      <c r="J173">
        <f t="shared" si="7"/>
        <v>79.518900343642613</v>
      </c>
      <c r="K173">
        <f t="shared" si="8"/>
        <v>1.2298406506879795E-2</v>
      </c>
      <c r="L173" t="str" cm="1">
        <f t="array" ref="L173">_xlfn.IFS(I173&gt;5,"high risk",I173&lt;2,"low risk",AND(I173&lt;=5,I173&gt;=2),"moderate risk")</f>
        <v>moderate risk</v>
      </c>
      <c r="M173" cm="1">
        <f t="array" ref="M173">_xlfn.IFS(L173="low risk",1,L173="moderate risk",2,L173="high risk",3)</f>
        <v>2</v>
      </c>
    </row>
    <row r="174" spans="1:13" ht="18" customHeight="1" x14ac:dyDescent="0.35">
      <c r="A174" s="6" t="s">
        <v>175</v>
      </c>
      <c r="B174" s="12">
        <v>227019</v>
      </c>
      <c r="C174" s="12">
        <v>5630</v>
      </c>
      <c r="D174" s="12">
        <v>210469</v>
      </c>
      <c r="E174" s="12">
        <v>10920</v>
      </c>
      <c r="F174" s="12">
        <v>84428331</v>
      </c>
      <c r="G174" s="6" t="s">
        <v>195</v>
      </c>
      <c r="H174" s="13">
        <v>43901</v>
      </c>
      <c r="I174">
        <f t="shared" si="6"/>
        <v>2.4799686369863316</v>
      </c>
      <c r="J174">
        <f t="shared" si="7"/>
        <v>92.709861289143205</v>
      </c>
      <c r="K174">
        <f t="shared" si="8"/>
        <v>0.26888959820844971</v>
      </c>
      <c r="L174" t="str" cm="1">
        <f t="array" ref="L174">_xlfn.IFS(I174&gt;5,"high risk",I174&lt;2,"low risk",AND(I174&lt;=5,I174&gt;=2),"moderate risk")</f>
        <v>moderate risk</v>
      </c>
      <c r="M174" cm="1">
        <f t="array" ref="M174">_xlfn.IFS(L174="low risk",1,L174="moderate risk",2,L174="high risk",3)</f>
        <v>2</v>
      </c>
    </row>
    <row r="175" spans="1:13" ht="18" customHeight="1" x14ac:dyDescent="0.35">
      <c r="A175" s="7" t="s">
        <v>176</v>
      </c>
      <c r="B175" s="14">
        <v>4290259</v>
      </c>
      <c r="C175" s="14">
        <v>148011</v>
      </c>
      <c r="D175" s="14">
        <v>1325804</v>
      </c>
      <c r="E175" s="14">
        <v>2816444</v>
      </c>
      <c r="F175" s="14">
        <v>331198130</v>
      </c>
      <c r="G175" s="7" t="s">
        <v>198</v>
      </c>
      <c r="H175" s="15">
        <v>43851</v>
      </c>
      <c r="I175">
        <f t="shared" si="6"/>
        <v>3.4499315775574386</v>
      </c>
      <c r="J175">
        <f t="shared" si="7"/>
        <v>30.902656459668286</v>
      </c>
      <c r="K175">
        <f t="shared" si="8"/>
        <v>1.2953753694201111</v>
      </c>
      <c r="L175" t="str" cm="1">
        <f t="array" ref="L175">_xlfn.IFS(I175&gt;5,"high risk",I175&lt;2,"low risk",AND(I175&lt;=5,I175&gt;=2),"moderate risk")</f>
        <v>moderate risk</v>
      </c>
      <c r="M175" cm="1">
        <f t="array" ref="M175">_xlfn.IFS(L175="low risk",1,L175="moderate risk",2,L175="high risk",3)</f>
        <v>2</v>
      </c>
    </row>
    <row r="176" spans="1:13" ht="18" customHeight="1" x14ac:dyDescent="0.35">
      <c r="A176" s="6" t="s">
        <v>177</v>
      </c>
      <c r="B176" s="12">
        <v>1128</v>
      </c>
      <c r="C176" s="12">
        <v>2</v>
      </c>
      <c r="D176" s="12">
        <v>986</v>
      </c>
      <c r="E176" s="12">
        <v>140</v>
      </c>
      <c r="F176" s="12">
        <v>45867852</v>
      </c>
      <c r="G176" s="6" t="s">
        <v>197</v>
      </c>
      <c r="H176" s="13">
        <v>43912</v>
      </c>
      <c r="I176">
        <f t="shared" si="6"/>
        <v>0.1773049645390071</v>
      </c>
      <c r="J176">
        <f t="shared" si="7"/>
        <v>87.411347517730491</v>
      </c>
      <c r="K176">
        <f t="shared" si="8"/>
        <v>2.459238771416634E-3</v>
      </c>
      <c r="L176" t="str" cm="1">
        <f t="array" ref="L176">_xlfn.IFS(I176&gt;5,"high risk",I176&lt;2,"low risk",AND(I176&lt;=5,I176&gt;=2),"moderate risk")</f>
        <v>low risk</v>
      </c>
      <c r="M176" cm="1">
        <f t="array" ref="M176">_xlfn.IFS(L176="low risk",1,L176="moderate risk",2,L176="high risk",3)</f>
        <v>1</v>
      </c>
    </row>
    <row r="177" spans="1:13" ht="18" customHeight="1" x14ac:dyDescent="0.35">
      <c r="A177" s="7" t="s">
        <v>178</v>
      </c>
      <c r="B177" s="14">
        <v>67096</v>
      </c>
      <c r="C177" s="14">
        <v>1636</v>
      </c>
      <c r="D177" s="14">
        <v>37202</v>
      </c>
      <c r="E177" s="14">
        <v>28258</v>
      </c>
      <c r="F177" s="14">
        <v>43705858</v>
      </c>
      <c r="G177" s="7" t="s">
        <v>196</v>
      </c>
      <c r="H177" s="15">
        <v>43893</v>
      </c>
      <c r="I177">
        <f t="shared" si="6"/>
        <v>2.4382973649695958</v>
      </c>
      <c r="J177">
        <f t="shared" si="7"/>
        <v>55.445928222248718</v>
      </c>
      <c r="K177">
        <f t="shared" si="8"/>
        <v>0.15351717840661086</v>
      </c>
      <c r="L177" t="str" cm="1">
        <f t="array" ref="L177">_xlfn.IFS(I177&gt;5,"high risk",I177&lt;2,"low risk",AND(I177&lt;=5,I177&gt;=2),"moderate risk")</f>
        <v>moderate risk</v>
      </c>
      <c r="M177" cm="1">
        <f t="array" ref="M177">_xlfn.IFS(L177="low risk",1,L177="moderate risk",2,L177="high risk",3)</f>
        <v>2</v>
      </c>
    </row>
    <row r="178" spans="1:13" ht="18" customHeight="1" x14ac:dyDescent="0.35">
      <c r="A178" s="6" t="s">
        <v>179</v>
      </c>
      <c r="B178" s="12">
        <v>59177</v>
      </c>
      <c r="C178" s="12">
        <v>345</v>
      </c>
      <c r="D178" s="12">
        <v>52510</v>
      </c>
      <c r="E178" s="12">
        <v>6322</v>
      </c>
      <c r="F178" s="12">
        <v>9902079</v>
      </c>
      <c r="G178" s="6" t="s">
        <v>195</v>
      </c>
      <c r="H178" s="13">
        <v>43859</v>
      </c>
      <c r="I178">
        <f t="shared" si="6"/>
        <v>0.5829967723946804</v>
      </c>
      <c r="J178">
        <f t="shared" si="7"/>
        <v>88.733798604187442</v>
      </c>
      <c r="K178">
        <f t="shared" si="8"/>
        <v>0.59762197413290685</v>
      </c>
      <c r="L178" t="str" cm="1">
        <f t="array" ref="L178">_xlfn.IFS(I178&gt;5,"high risk",I178&lt;2,"low risk",AND(I178&lt;=5,I178&gt;=2),"moderate risk")</f>
        <v>low risk</v>
      </c>
      <c r="M178" cm="1">
        <f t="array" ref="M178">_xlfn.IFS(L178="low risk",1,L178="moderate risk",2,L178="high risk",3)</f>
        <v>1</v>
      </c>
    </row>
    <row r="179" spans="1:13" ht="18" customHeight="1" x14ac:dyDescent="0.35">
      <c r="A179" s="7" t="s">
        <v>180</v>
      </c>
      <c r="B179" s="14">
        <v>301708</v>
      </c>
      <c r="C179" s="14">
        <v>45844</v>
      </c>
      <c r="D179" s="14">
        <v>1437</v>
      </c>
      <c r="E179" s="14">
        <v>254427</v>
      </c>
      <c r="F179" s="14">
        <v>67922029</v>
      </c>
      <c r="G179" s="7" t="s">
        <v>196</v>
      </c>
      <c r="H179" s="15">
        <v>43861</v>
      </c>
      <c r="I179">
        <f t="shared" si="6"/>
        <v>15.194824134593713</v>
      </c>
      <c r="J179">
        <f t="shared" si="7"/>
        <v>0.47628833176448754</v>
      </c>
      <c r="K179">
        <f t="shared" si="8"/>
        <v>0.44419756659507326</v>
      </c>
      <c r="L179" t="str" cm="1">
        <f t="array" ref="L179">_xlfn.IFS(I179&gt;5,"high risk",I179&lt;2,"low risk",AND(I179&lt;=5,I179&gt;=2),"moderate risk")</f>
        <v>high risk</v>
      </c>
      <c r="M179" cm="1">
        <f t="array" ref="M179">_xlfn.IFS(L179="low risk",1,L179="moderate risk",2,L179="high risk",3)</f>
        <v>3</v>
      </c>
    </row>
    <row r="180" spans="1:13" ht="18" customHeight="1" x14ac:dyDescent="0.35">
      <c r="A180" s="6" t="s">
        <v>181</v>
      </c>
      <c r="B180" s="12">
        <v>1202</v>
      </c>
      <c r="C180" s="12">
        <v>35</v>
      </c>
      <c r="D180" s="12">
        <v>951</v>
      </c>
      <c r="E180" s="12">
        <v>216</v>
      </c>
      <c r="F180" s="12">
        <v>3474956</v>
      </c>
      <c r="G180" s="6" t="s">
        <v>199</v>
      </c>
      <c r="H180" s="13">
        <v>43903</v>
      </c>
      <c r="I180">
        <f t="shared" si="6"/>
        <v>2.9118136439267883</v>
      </c>
      <c r="J180">
        <f t="shared" si="7"/>
        <v>79.118136439267886</v>
      </c>
      <c r="K180">
        <f t="shared" si="8"/>
        <v>3.4590366036289379E-2</v>
      </c>
      <c r="L180" t="str" cm="1">
        <f t="array" ref="L180">_xlfn.IFS(I180&gt;5,"high risk",I180&lt;2,"low risk",AND(I180&lt;=5,I180&gt;=2),"moderate risk")</f>
        <v>moderate risk</v>
      </c>
      <c r="M180" cm="1">
        <f t="array" ref="M180">_xlfn.IFS(L180="low risk",1,L180="moderate risk",2,L180="high risk",3)</f>
        <v>2</v>
      </c>
    </row>
    <row r="181" spans="1:13" ht="18" customHeight="1" x14ac:dyDescent="0.35">
      <c r="A181" s="7" t="s">
        <v>182</v>
      </c>
      <c r="B181" s="14">
        <v>21209</v>
      </c>
      <c r="C181" s="14">
        <v>121</v>
      </c>
      <c r="D181" s="14">
        <v>11674</v>
      </c>
      <c r="E181" s="14">
        <v>9414</v>
      </c>
      <c r="F181" s="14">
        <v>33516027</v>
      </c>
      <c r="G181" s="7" t="s">
        <v>195</v>
      </c>
      <c r="H181" s="15">
        <v>43905</v>
      </c>
      <c r="I181">
        <f t="shared" si="6"/>
        <v>0.5705125182705455</v>
      </c>
      <c r="J181">
        <f t="shared" si="7"/>
        <v>55.042670564383045</v>
      </c>
      <c r="K181">
        <f t="shared" si="8"/>
        <v>6.3280173392866637E-2</v>
      </c>
      <c r="L181" t="str" cm="1">
        <f t="array" ref="L181">_xlfn.IFS(I181&gt;5,"high risk",I181&lt;2,"low risk",AND(I181&lt;=5,I181&gt;=2),"moderate risk")</f>
        <v>low risk</v>
      </c>
      <c r="M181" cm="1">
        <f t="array" ref="M181">_xlfn.IFS(L181="low risk",1,L181="moderate risk",2,L181="high risk",3)</f>
        <v>1</v>
      </c>
    </row>
    <row r="182" spans="1:13" ht="18" customHeight="1" x14ac:dyDescent="0.35">
      <c r="A182" s="6" t="s">
        <v>183</v>
      </c>
      <c r="B182" s="12">
        <v>15988</v>
      </c>
      <c r="C182" s="12">
        <v>146</v>
      </c>
      <c r="D182" s="12">
        <v>9959</v>
      </c>
      <c r="E182" s="12">
        <v>5883</v>
      </c>
      <c r="F182" s="12">
        <v>28427499</v>
      </c>
      <c r="G182" s="6" t="s">
        <v>199</v>
      </c>
      <c r="H182" s="13">
        <v>43903</v>
      </c>
      <c r="I182">
        <f t="shared" si="6"/>
        <v>0.91318488866649983</v>
      </c>
      <c r="J182">
        <f t="shared" si="7"/>
        <v>62.290467850888163</v>
      </c>
      <c r="K182">
        <f t="shared" si="8"/>
        <v>5.6241317605885771E-2</v>
      </c>
      <c r="L182" t="str" cm="1">
        <f t="array" ref="L182">_xlfn.IFS(I182&gt;5,"high risk",I182&lt;2,"low risk",AND(I182&lt;=5,I182&gt;=2),"moderate risk")</f>
        <v>low risk</v>
      </c>
      <c r="M182" cm="1">
        <f t="array" ref="M182">_xlfn.IFS(L182="low risk",1,L182="moderate risk",2,L182="high risk",3)</f>
        <v>1</v>
      </c>
    </row>
    <row r="183" spans="1:13" ht="18" customHeight="1" x14ac:dyDescent="0.35">
      <c r="A183" s="7" t="s">
        <v>184</v>
      </c>
      <c r="B183" s="14">
        <v>431</v>
      </c>
      <c r="C183" s="14">
        <v>0</v>
      </c>
      <c r="D183" s="14">
        <v>365</v>
      </c>
      <c r="E183" s="14">
        <v>66</v>
      </c>
      <c r="F183" s="14">
        <v>97425470</v>
      </c>
      <c r="G183" s="7" t="s">
        <v>195</v>
      </c>
      <c r="H183" s="15">
        <v>43853</v>
      </c>
      <c r="I183">
        <f t="shared" si="6"/>
        <v>0</v>
      </c>
      <c r="J183">
        <f t="shared" si="7"/>
        <v>84.686774941995353</v>
      </c>
      <c r="K183">
        <f t="shared" si="8"/>
        <v>4.4238944908348921E-4</v>
      </c>
      <c r="L183" t="str" cm="1">
        <f t="array" ref="L183">_xlfn.IFS(I183&gt;5,"high risk",I183&lt;2,"low risk",AND(I183&lt;=5,I183&gt;=2),"moderate risk")</f>
        <v>low risk</v>
      </c>
      <c r="M183" cm="1">
        <f t="array" ref="M183">_xlfn.IFS(L183="low risk",1,L183="moderate risk",2,L183="high risk",3)</f>
        <v>1</v>
      </c>
    </row>
    <row r="184" spans="1:13" ht="18" customHeight="1" x14ac:dyDescent="0.35">
      <c r="A184" s="6" t="s">
        <v>185</v>
      </c>
      <c r="B184" s="12">
        <v>10621</v>
      </c>
      <c r="C184" s="12">
        <v>78</v>
      </c>
      <c r="D184" s="12">
        <v>3752</v>
      </c>
      <c r="E184" s="12">
        <v>6791</v>
      </c>
      <c r="F184" s="16">
        <v>4800000</v>
      </c>
      <c r="G184" s="6" t="s">
        <v>195</v>
      </c>
      <c r="H184" s="13">
        <v>43895</v>
      </c>
      <c r="I184">
        <f t="shared" si="6"/>
        <v>0.73439412484700128</v>
      </c>
      <c r="J184">
        <f t="shared" si="7"/>
        <v>35.326240466999344</v>
      </c>
      <c r="K184">
        <f t="shared" si="8"/>
        <v>0.22127083333333333</v>
      </c>
      <c r="L184" t="str" cm="1">
        <f t="array" ref="L184">_xlfn.IFS(I184&gt;5,"high risk",I184&lt;2,"low risk",AND(I184&lt;=5,I184&gt;=2),"moderate risk")</f>
        <v>low risk</v>
      </c>
      <c r="M184" cm="1">
        <f t="array" ref="M184">_xlfn.IFS(L184="low risk",1,L184="moderate risk",2,L184="high risk",3)</f>
        <v>1</v>
      </c>
    </row>
    <row r="185" spans="1:13" ht="18" customHeight="1" x14ac:dyDescent="0.35">
      <c r="A185" s="7" t="s">
        <v>186</v>
      </c>
      <c r="B185" s="14">
        <v>10</v>
      </c>
      <c r="C185" s="14">
        <v>1</v>
      </c>
      <c r="D185" s="14">
        <v>8</v>
      </c>
      <c r="E185" s="14">
        <v>1</v>
      </c>
      <c r="F185" s="14">
        <v>598682</v>
      </c>
      <c r="G185" s="7" t="s">
        <v>197</v>
      </c>
      <c r="H185" s="15">
        <v>43925</v>
      </c>
      <c r="I185">
        <f t="shared" si="6"/>
        <v>10</v>
      </c>
      <c r="J185">
        <f t="shared" si="7"/>
        <v>80</v>
      </c>
      <c r="K185">
        <f t="shared" si="8"/>
        <v>1.6703358377235327E-3</v>
      </c>
      <c r="L185" t="str" cm="1">
        <f t="array" ref="L185">_xlfn.IFS(I185&gt;5,"high risk",I185&lt;2,"low risk",AND(I185&lt;=5,I185&gt;=2),"moderate risk")</f>
        <v>high risk</v>
      </c>
      <c r="M185" cm="1">
        <f t="array" ref="M185">_xlfn.IFS(L185="low risk",1,L185="moderate risk",2,L185="high risk",3)</f>
        <v>3</v>
      </c>
    </row>
    <row r="186" spans="1:13" ht="18" customHeight="1" x14ac:dyDescent="0.35">
      <c r="A186" s="6" t="s">
        <v>187</v>
      </c>
      <c r="B186" s="12">
        <v>1691</v>
      </c>
      <c r="C186" s="12">
        <v>483</v>
      </c>
      <c r="D186" s="12">
        <v>833</v>
      </c>
      <c r="E186" s="12">
        <v>375</v>
      </c>
      <c r="F186" s="12">
        <v>29886897</v>
      </c>
      <c r="G186" s="6" t="s">
        <v>195</v>
      </c>
      <c r="H186" s="13">
        <v>43931</v>
      </c>
      <c r="I186">
        <f t="shared" si="6"/>
        <v>28.562980484920164</v>
      </c>
      <c r="J186">
        <f t="shared" si="7"/>
        <v>49.260792430514485</v>
      </c>
      <c r="K186">
        <f t="shared" si="8"/>
        <v>5.6579978844909862E-3</v>
      </c>
      <c r="L186" t="str" cm="1">
        <f t="array" ref="L186">_xlfn.IFS(I186&gt;5,"high risk",I186&lt;2,"low risk",AND(I186&lt;=5,I186&gt;=2),"moderate risk")</f>
        <v>high risk</v>
      </c>
      <c r="M186" cm="1">
        <f t="array" ref="M186">_xlfn.IFS(L186="low risk",1,L186="moderate risk",2,L186="high risk",3)</f>
        <v>3</v>
      </c>
    </row>
    <row r="187" spans="1:13" ht="18" customHeight="1" x14ac:dyDescent="0.35">
      <c r="A187" s="7" t="s">
        <v>188</v>
      </c>
      <c r="B187" s="14">
        <v>4552</v>
      </c>
      <c r="C187" s="14">
        <v>140</v>
      </c>
      <c r="D187" s="14">
        <v>2815</v>
      </c>
      <c r="E187" s="14">
        <v>1597</v>
      </c>
      <c r="F187" s="14">
        <v>18430129</v>
      </c>
      <c r="G187" s="7" t="s">
        <v>197</v>
      </c>
      <c r="H187" s="15">
        <v>43908</v>
      </c>
      <c r="I187">
        <f t="shared" si="6"/>
        <v>3.0755711775043935</v>
      </c>
      <c r="J187">
        <f t="shared" si="7"/>
        <v>61.840949033391915</v>
      </c>
      <c r="K187">
        <f t="shared" si="8"/>
        <v>2.4698687676033088E-2</v>
      </c>
      <c r="L187" t="str" cm="1">
        <f t="array" ref="L187">_xlfn.IFS(I187&gt;5,"high risk",I187&lt;2,"low risk",AND(I187&lt;=5,I187&gt;=2),"moderate risk")</f>
        <v>moderate risk</v>
      </c>
      <c r="M187" cm="1">
        <f t="array" ref="M187">_xlfn.IFS(L187="low risk",1,L187="moderate risk",2,L187="high risk",3)</f>
        <v>2</v>
      </c>
    </row>
    <row r="188" spans="1:13" ht="18" customHeight="1" x14ac:dyDescent="0.35">
      <c r="A188" s="8" t="s">
        <v>189</v>
      </c>
      <c r="B188" s="19">
        <v>2704</v>
      </c>
      <c r="C188" s="19">
        <v>36</v>
      </c>
      <c r="D188" s="19">
        <v>542</v>
      </c>
      <c r="E188" s="19">
        <v>2126</v>
      </c>
      <c r="F188" s="19">
        <v>14883803</v>
      </c>
      <c r="G188" s="8" t="s">
        <v>197</v>
      </c>
      <c r="H188" s="20">
        <v>43911</v>
      </c>
      <c r="I188">
        <f t="shared" si="6"/>
        <v>1.3313609467455623</v>
      </c>
      <c r="J188">
        <f t="shared" si="7"/>
        <v>20.04437869822485</v>
      </c>
      <c r="K188">
        <f t="shared" si="8"/>
        <v>1.8167399823821907E-2</v>
      </c>
      <c r="L188" t="str" cm="1">
        <f t="array" ref="L188">_xlfn.IFS(I188&gt;5,"high risk",I188&lt;2,"low risk",AND(I188&lt;=5,I188&gt;=2),"moderate risk")</f>
        <v>low risk</v>
      </c>
      <c r="M188" cm="1">
        <f t="array" ref="M188">_xlfn.IFS(L188="low risk",1,L188="moderate risk",2,L188="high risk",3)</f>
        <v>1</v>
      </c>
    </row>
  </sheetData>
  <autoFilter ref="A1:N188" xr:uid="{8CA6B062-EED8-4B2F-9FE7-618192618789}"/>
  <conditionalFormatting sqref="I2:I188">
    <cfRule type="cellIs" dxfId="1" priority="6" operator="greaterThan">
      <formula>5</formula>
    </cfRule>
  </conditionalFormatting>
  <conditionalFormatting sqref="J2:J18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88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{B1902B6C-71B6-4967-B654-CAA8B9C68BC7}</x14:id>
        </ext>
      </extLst>
    </cfRule>
  </conditionalFormatting>
  <conditionalFormatting sqref="M2:M188">
    <cfRule type="iconSet" priority="1">
      <iconSet iconSet="3Arrows" showValue="0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N1" xr:uid="{2583E7E4-AD9F-425C-AF69-7083F5AD5936}">
      <formula1>$A$2:$A$188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902B6C-71B6-4967-B654-CAA8B9C68BC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K2:K188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C42F-055E-4FEC-BFCA-751919F643BB}">
  <dimension ref="A3:C14"/>
  <sheetViews>
    <sheetView workbookViewId="0">
      <selection activeCell="K19" sqref="K19"/>
    </sheetView>
  </sheetViews>
  <sheetFormatPr defaultRowHeight="14.5" x14ac:dyDescent="0.35"/>
  <cols>
    <col min="1" max="1" width="13.54296875" bestFit="1" customWidth="1"/>
    <col min="2" max="2" width="16" bestFit="1" customWidth="1"/>
    <col min="3" max="3" width="15.90625" bestFit="1" customWidth="1"/>
  </cols>
  <sheetData>
    <row r="3" spans="1:3" x14ac:dyDescent="0.35">
      <c r="A3" s="24" t="s">
        <v>212</v>
      </c>
      <c r="B3" t="s">
        <v>216</v>
      </c>
      <c r="C3" t="s">
        <v>217</v>
      </c>
    </row>
    <row r="4" spans="1:3" x14ac:dyDescent="0.35">
      <c r="A4" s="25" t="s">
        <v>28</v>
      </c>
      <c r="B4">
        <v>2442375</v>
      </c>
      <c r="C4">
        <v>1846641</v>
      </c>
    </row>
    <row r="5" spans="1:3" x14ac:dyDescent="0.35">
      <c r="A5" s="25" t="s">
        <v>39</v>
      </c>
      <c r="B5">
        <v>347923</v>
      </c>
      <c r="C5">
        <v>319954</v>
      </c>
    </row>
    <row r="6" spans="1:3" x14ac:dyDescent="0.35">
      <c r="A6" s="25" t="s">
        <v>83</v>
      </c>
      <c r="B6">
        <v>1480073</v>
      </c>
      <c r="C6">
        <v>951166</v>
      </c>
    </row>
    <row r="7" spans="1:3" x14ac:dyDescent="0.35">
      <c r="A7" s="25" t="s">
        <v>85</v>
      </c>
      <c r="B7">
        <v>293606</v>
      </c>
      <c r="C7">
        <v>255144</v>
      </c>
    </row>
    <row r="8" spans="1:3" x14ac:dyDescent="0.35">
      <c r="A8" s="25" t="s">
        <v>115</v>
      </c>
      <c r="B8">
        <v>395489</v>
      </c>
      <c r="C8">
        <v>303810</v>
      </c>
    </row>
    <row r="9" spans="1:3" x14ac:dyDescent="0.35">
      <c r="A9" s="25" t="s">
        <v>136</v>
      </c>
      <c r="B9">
        <v>389717</v>
      </c>
      <c r="C9">
        <v>272547</v>
      </c>
    </row>
    <row r="10" spans="1:3" x14ac:dyDescent="0.35">
      <c r="A10" s="25" t="s">
        <v>142</v>
      </c>
      <c r="B10">
        <v>816680</v>
      </c>
      <c r="C10">
        <v>602249</v>
      </c>
    </row>
    <row r="11" spans="1:3" x14ac:dyDescent="0.35">
      <c r="A11" s="25" t="s">
        <v>158</v>
      </c>
      <c r="B11">
        <v>452529</v>
      </c>
      <c r="C11">
        <v>274925</v>
      </c>
    </row>
    <row r="12" spans="1:3" x14ac:dyDescent="0.35">
      <c r="A12" s="25" t="s">
        <v>180</v>
      </c>
      <c r="B12">
        <v>301708</v>
      </c>
      <c r="C12">
        <v>1437</v>
      </c>
    </row>
    <row r="13" spans="1:3" x14ac:dyDescent="0.35">
      <c r="A13" s="25" t="s">
        <v>176</v>
      </c>
      <c r="B13">
        <v>4290259</v>
      </c>
      <c r="C13">
        <v>1325804</v>
      </c>
    </row>
    <row r="14" spans="1:3" x14ac:dyDescent="0.35">
      <c r="A14" s="25" t="s">
        <v>214</v>
      </c>
      <c r="B14">
        <v>11210359</v>
      </c>
      <c r="C14">
        <v>6153677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7C19-75A2-41E8-87F0-3CEA7A02F57C}">
  <dimension ref="A3:B12"/>
  <sheetViews>
    <sheetView workbookViewId="0">
      <selection activeCell="C6" sqref="C6"/>
    </sheetView>
  </sheetViews>
  <sheetFormatPr defaultRowHeight="14.5" x14ac:dyDescent="0.35"/>
  <cols>
    <col min="1" max="1" width="12.453125" bestFit="1" customWidth="1"/>
    <col min="2" max="2" width="16" bestFit="1" customWidth="1"/>
  </cols>
  <sheetData>
    <row r="3" spans="1:2" x14ac:dyDescent="0.35">
      <c r="A3" s="24" t="s">
        <v>212</v>
      </c>
      <c r="B3" t="s">
        <v>216</v>
      </c>
    </row>
    <row r="4" spans="1:2" x14ac:dyDescent="0.35">
      <c r="A4" s="25" t="s">
        <v>218</v>
      </c>
    </row>
    <row r="5" spans="1:2" x14ac:dyDescent="0.35">
      <c r="A5" s="25" t="s">
        <v>219</v>
      </c>
      <c r="B5">
        <v>8097972</v>
      </c>
    </row>
    <row r="6" spans="1:2" x14ac:dyDescent="0.35">
      <c r="A6" s="25" t="s">
        <v>220</v>
      </c>
      <c r="B6">
        <v>4529239</v>
      </c>
    </row>
    <row r="7" spans="1:2" x14ac:dyDescent="0.35">
      <c r="A7" s="25" t="s">
        <v>221</v>
      </c>
      <c r="B7">
        <v>3493247</v>
      </c>
    </row>
    <row r="8" spans="1:2" x14ac:dyDescent="0.35">
      <c r="A8" s="25" t="s">
        <v>222</v>
      </c>
      <c r="B8">
        <v>16124</v>
      </c>
    </row>
    <row r="9" spans="1:2" x14ac:dyDescent="0.35">
      <c r="A9" s="25" t="s">
        <v>223</v>
      </c>
      <c r="B9">
        <v>505</v>
      </c>
    </row>
    <row r="10" spans="1:2" x14ac:dyDescent="0.35">
      <c r="A10" s="25" t="s">
        <v>224</v>
      </c>
      <c r="B10">
        <v>86783</v>
      </c>
    </row>
    <row r="11" spans="1:2" x14ac:dyDescent="0.35">
      <c r="A11" s="25" t="s">
        <v>225</v>
      </c>
      <c r="B11">
        <v>220352</v>
      </c>
    </row>
    <row r="12" spans="1:2" x14ac:dyDescent="0.35">
      <c r="A12" s="25" t="s">
        <v>214</v>
      </c>
      <c r="B12">
        <v>16444222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C720-E695-4342-A19C-54FDCBEF4CE8}">
  <dimension ref="A3:B11"/>
  <sheetViews>
    <sheetView workbookViewId="0">
      <selection activeCell="A10" sqref="A10"/>
    </sheetView>
  </sheetViews>
  <sheetFormatPr defaultRowHeight="14.5" x14ac:dyDescent="0.35"/>
  <cols>
    <col min="1" max="1" width="15.54296875" bestFit="1" customWidth="1"/>
    <col min="2" max="2" width="16" bestFit="1" customWidth="1"/>
  </cols>
  <sheetData>
    <row r="3" spans="1:2" x14ac:dyDescent="0.35">
      <c r="A3" s="24" t="s">
        <v>212</v>
      </c>
      <c r="B3" t="s">
        <v>216</v>
      </c>
    </row>
    <row r="4" spans="1:2" x14ac:dyDescent="0.35">
      <c r="A4" s="25" t="s">
        <v>197</v>
      </c>
      <c r="B4">
        <v>947320</v>
      </c>
    </row>
    <row r="5" spans="1:2" x14ac:dyDescent="0.35">
      <c r="A5" s="25" t="s">
        <v>195</v>
      </c>
      <c r="B5">
        <v>3910011</v>
      </c>
    </row>
    <row r="6" spans="1:2" x14ac:dyDescent="0.35">
      <c r="A6" s="25" t="s">
        <v>200</v>
      </c>
      <c r="B6">
        <v>16949</v>
      </c>
    </row>
    <row r="7" spans="1:2" x14ac:dyDescent="0.35">
      <c r="A7" s="25" t="s">
        <v>196</v>
      </c>
      <c r="B7">
        <v>2792084</v>
      </c>
    </row>
    <row r="8" spans="1:2" x14ac:dyDescent="0.35">
      <c r="A8" s="25" t="s">
        <v>198</v>
      </c>
      <c r="B8">
        <v>4997374</v>
      </c>
    </row>
    <row r="9" spans="1:2" x14ac:dyDescent="0.35">
      <c r="A9" s="25" t="s">
        <v>199</v>
      </c>
      <c r="B9">
        <v>3780484</v>
      </c>
    </row>
    <row r="10" spans="1:2" x14ac:dyDescent="0.35">
      <c r="A10" s="25" t="s">
        <v>213</v>
      </c>
    </row>
    <row r="11" spans="1:2" x14ac:dyDescent="0.35">
      <c r="A11" s="25" t="s">
        <v>214</v>
      </c>
      <c r="B11">
        <v>16444222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078B-D5DA-48A1-A544-20F683C22C72}">
  <dimension ref="A3:C12"/>
  <sheetViews>
    <sheetView workbookViewId="0">
      <selection activeCell="H19" sqref="H19"/>
    </sheetView>
  </sheetViews>
  <sheetFormatPr defaultRowHeight="14.5" x14ac:dyDescent="0.35"/>
  <cols>
    <col min="1" max="1" width="12.81640625" bestFit="1" customWidth="1"/>
    <col min="2" max="2" width="17.36328125" bestFit="1" customWidth="1"/>
    <col min="3" max="3" width="15.08984375" bestFit="1" customWidth="1"/>
    <col min="4" max="4" width="13.6328125" bestFit="1" customWidth="1"/>
  </cols>
  <sheetData>
    <row r="3" spans="1:3" x14ac:dyDescent="0.35">
      <c r="A3" s="24" t="s">
        <v>212</v>
      </c>
      <c r="B3" t="s">
        <v>215</v>
      </c>
      <c r="C3" t="s">
        <v>226</v>
      </c>
    </row>
    <row r="4" spans="1:3" x14ac:dyDescent="0.35">
      <c r="A4" s="25" t="s">
        <v>218</v>
      </c>
    </row>
    <row r="5" spans="1:3" x14ac:dyDescent="0.35">
      <c r="A5" s="25" t="s">
        <v>219</v>
      </c>
      <c r="B5">
        <v>22</v>
      </c>
      <c r="C5">
        <v>22</v>
      </c>
    </row>
    <row r="6" spans="1:3" x14ac:dyDescent="0.35">
      <c r="A6" s="25" t="s">
        <v>220</v>
      </c>
      <c r="B6">
        <v>38</v>
      </c>
      <c r="C6">
        <v>38</v>
      </c>
    </row>
    <row r="7" spans="1:3" x14ac:dyDescent="0.35">
      <c r="A7" s="25" t="s">
        <v>221</v>
      </c>
      <c r="B7">
        <v>117</v>
      </c>
      <c r="C7">
        <v>117</v>
      </c>
    </row>
    <row r="8" spans="1:3" x14ac:dyDescent="0.35">
      <c r="A8" s="25" t="s">
        <v>222</v>
      </c>
      <c r="B8">
        <v>7</v>
      </c>
      <c r="C8">
        <v>7</v>
      </c>
    </row>
    <row r="9" spans="1:3" x14ac:dyDescent="0.35">
      <c r="A9" s="25" t="s">
        <v>223</v>
      </c>
      <c r="B9">
        <v>1</v>
      </c>
      <c r="C9">
        <v>1</v>
      </c>
    </row>
    <row r="10" spans="1:3" x14ac:dyDescent="0.35">
      <c r="A10" s="25" t="s">
        <v>224</v>
      </c>
      <c r="B10">
        <v>1</v>
      </c>
      <c r="C10">
        <v>1</v>
      </c>
    </row>
    <row r="11" spans="1:3" x14ac:dyDescent="0.35">
      <c r="A11" s="25" t="s">
        <v>225</v>
      </c>
      <c r="B11">
        <v>1</v>
      </c>
      <c r="C11">
        <v>1</v>
      </c>
    </row>
    <row r="12" spans="1:3" x14ac:dyDescent="0.35">
      <c r="A12" s="25" t="s">
        <v>214</v>
      </c>
      <c r="B12">
        <v>187</v>
      </c>
      <c r="C12">
        <v>187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2AC8-CE5B-4C59-BA53-1F5DC0C24F62}">
  <dimension ref="A1:GF17"/>
  <sheetViews>
    <sheetView zoomScale="85" zoomScaleNormal="85" workbookViewId="0">
      <selection activeCell="F17" sqref="F17"/>
    </sheetView>
  </sheetViews>
  <sheetFormatPr defaultRowHeight="14.5" x14ac:dyDescent="0.35"/>
  <cols>
    <col min="2" max="4" width="11.90625" bestFit="1" customWidth="1"/>
    <col min="5" max="5" width="11.81640625" bestFit="1" customWidth="1"/>
    <col min="6" max="6" width="11.90625" bestFit="1" customWidth="1"/>
  </cols>
  <sheetData>
    <row r="1" spans="1:188" x14ac:dyDescent="0.35">
      <c r="A1" s="5" t="s">
        <v>0</v>
      </c>
      <c r="B1" s="6" t="s">
        <v>5</v>
      </c>
      <c r="C1" s="7" t="s">
        <v>6</v>
      </c>
      <c r="D1" s="6" t="s">
        <v>7</v>
      </c>
      <c r="E1" s="7" t="s">
        <v>8</v>
      </c>
      <c r="F1" s="6" t="s">
        <v>9</v>
      </c>
      <c r="G1" s="7" t="s">
        <v>10</v>
      </c>
      <c r="H1" s="6" t="s">
        <v>11</v>
      </c>
      <c r="I1" s="7" t="s">
        <v>12</v>
      </c>
      <c r="J1" s="6" t="s">
        <v>13</v>
      </c>
      <c r="K1" s="7" t="s">
        <v>14</v>
      </c>
      <c r="L1" s="6" t="s">
        <v>15</v>
      </c>
      <c r="M1" s="7" t="s">
        <v>16</v>
      </c>
      <c r="N1" s="6" t="s">
        <v>17</v>
      </c>
      <c r="O1" s="7" t="s">
        <v>18</v>
      </c>
      <c r="P1" s="6" t="s">
        <v>19</v>
      </c>
      <c r="Q1" s="7" t="s">
        <v>20</v>
      </c>
      <c r="R1" s="6" t="s">
        <v>21</v>
      </c>
      <c r="S1" s="7" t="s">
        <v>22</v>
      </c>
      <c r="T1" s="6" t="s">
        <v>23</v>
      </c>
      <c r="U1" s="7" t="s">
        <v>24</v>
      </c>
      <c r="V1" s="6" t="s">
        <v>25</v>
      </c>
      <c r="W1" s="7" t="s">
        <v>26</v>
      </c>
      <c r="X1" s="6" t="s">
        <v>27</v>
      </c>
      <c r="Y1" s="7" t="s">
        <v>28</v>
      </c>
      <c r="Z1" s="6" t="s">
        <v>29</v>
      </c>
      <c r="AA1" s="7" t="s">
        <v>30</v>
      </c>
      <c r="AB1" s="6" t="s">
        <v>31</v>
      </c>
      <c r="AC1" s="7" t="s">
        <v>191</v>
      </c>
      <c r="AD1" s="6" t="s">
        <v>32</v>
      </c>
      <c r="AE1" s="7" t="s">
        <v>33</v>
      </c>
      <c r="AF1" s="6" t="s">
        <v>34</v>
      </c>
      <c r="AG1" s="7" t="s">
        <v>35</v>
      </c>
      <c r="AH1" s="6" t="s">
        <v>36</v>
      </c>
      <c r="AI1" s="7" t="s">
        <v>37</v>
      </c>
      <c r="AJ1" s="6" t="s">
        <v>38</v>
      </c>
      <c r="AK1" s="7" t="s">
        <v>39</v>
      </c>
      <c r="AL1" s="6" t="s">
        <v>40</v>
      </c>
      <c r="AM1" s="7" t="s">
        <v>41</v>
      </c>
      <c r="AN1" s="6" t="s">
        <v>42</v>
      </c>
      <c r="AO1" s="7" t="s">
        <v>43</v>
      </c>
      <c r="AP1" s="6" t="s">
        <v>44</v>
      </c>
      <c r="AQ1" s="7" t="s">
        <v>45</v>
      </c>
      <c r="AR1" s="6" t="s">
        <v>46</v>
      </c>
      <c r="AS1" s="7" t="s">
        <v>47</v>
      </c>
      <c r="AT1" s="6" t="s">
        <v>48</v>
      </c>
      <c r="AU1" s="7" t="s">
        <v>49</v>
      </c>
      <c r="AV1" s="6" t="s">
        <v>50</v>
      </c>
      <c r="AW1" s="7" t="s">
        <v>51</v>
      </c>
      <c r="AX1" s="6" t="s">
        <v>52</v>
      </c>
      <c r="AY1" s="7" t="s">
        <v>53</v>
      </c>
      <c r="AZ1" s="6" t="s">
        <v>54</v>
      </c>
      <c r="BA1" s="7" t="s">
        <v>55</v>
      </c>
      <c r="BB1" s="6" t="s">
        <v>56</v>
      </c>
      <c r="BC1" s="7" t="s">
        <v>57</v>
      </c>
      <c r="BD1" s="6" t="s">
        <v>58</v>
      </c>
      <c r="BE1" s="7" t="s">
        <v>59</v>
      </c>
      <c r="BF1" s="6" t="s">
        <v>60</v>
      </c>
      <c r="BG1" s="7" t="s">
        <v>61</v>
      </c>
      <c r="BH1" s="6" t="s">
        <v>62</v>
      </c>
      <c r="BI1" s="7" t="s">
        <v>63</v>
      </c>
      <c r="BJ1" s="6" t="s">
        <v>64</v>
      </c>
      <c r="BK1" s="7" t="s">
        <v>65</v>
      </c>
      <c r="BL1" s="6" t="s">
        <v>66</v>
      </c>
      <c r="BM1" s="7" t="s">
        <v>67</v>
      </c>
      <c r="BN1" s="6" t="s">
        <v>68</v>
      </c>
      <c r="BO1" s="7" t="s">
        <v>69</v>
      </c>
      <c r="BP1" s="6" t="s">
        <v>70</v>
      </c>
      <c r="BQ1" s="7" t="s">
        <v>71</v>
      </c>
      <c r="BR1" s="6" t="s">
        <v>72</v>
      </c>
      <c r="BS1" s="7" t="s">
        <v>73</v>
      </c>
      <c r="BT1" s="6" t="s">
        <v>74</v>
      </c>
      <c r="BU1" s="7" t="s">
        <v>75</v>
      </c>
      <c r="BV1" s="6" t="s">
        <v>76</v>
      </c>
      <c r="BW1" s="7" t="s">
        <v>77</v>
      </c>
      <c r="BX1" s="6" t="s">
        <v>78</v>
      </c>
      <c r="BY1" s="7" t="s">
        <v>79</v>
      </c>
      <c r="BZ1" s="6" t="s">
        <v>80</v>
      </c>
      <c r="CA1" s="7" t="s">
        <v>81</v>
      </c>
      <c r="CB1" s="6" t="s">
        <v>82</v>
      </c>
      <c r="CC1" s="7" t="s">
        <v>83</v>
      </c>
      <c r="CD1" s="6" t="s">
        <v>84</v>
      </c>
      <c r="CE1" s="7" t="s">
        <v>85</v>
      </c>
      <c r="CF1" s="6" t="s">
        <v>86</v>
      </c>
      <c r="CG1" s="7" t="s">
        <v>87</v>
      </c>
      <c r="CH1" s="6" t="s">
        <v>88</v>
      </c>
      <c r="CI1" s="7" t="s">
        <v>89</v>
      </c>
      <c r="CJ1" s="6" t="s">
        <v>90</v>
      </c>
      <c r="CK1" s="7" t="s">
        <v>91</v>
      </c>
      <c r="CL1" s="6" t="s">
        <v>92</v>
      </c>
      <c r="CM1" s="7" t="s">
        <v>93</v>
      </c>
      <c r="CN1" s="6" t="s">
        <v>94</v>
      </c>
      <c r="CO1" s="7" t="s">
        <v>95</v>
      </c>
      <c r="CP1" s="6" t="s">
        <v>96</v>
      </c>
      <c r="CQ1" s="7" t="s">
        <v>97</v>
      </c>
      <c r="CR1" s="6" t="s">
        <v>98</v>
      </c>
      <c r="CS1" s="7" t="s">
        <v>99</v>
      </c>
      <c r="CT1" s="6" t="s">
        <v>100</v>
      </c>
      <c r="CU1" s="7" t="s">
        <v>101</v>
      </c>
      <c r="CV1" s="6" t="s">
        <v>102</v>
      </c>
      <c r="CW1" s="7" t="s">
        <v>103</v>
      </c>
      <c r="CX1" s="6" t="s">
        <v>104</v>
      </c>
      <c r="CY1" s="7" t="s">
        <v>105</v>
      </c>
      <c r="CZ1" s="6" t="s">
        <v>106</v>
      </c>
      <c r="DA1" s="7" t="s">
        <v>107</v>
      </c>
      <c r="DB1" s="6" t="s">
        <v>108</v>
      </c>
      <c r="DC1" s="7" t="s">
        <v>109</v>
      </c>
      <c r="DD1" s="6" t="s">
        <v>110</v>
      </c>
      <c r="DE1" s="7" t="s">
        <v>111</v>
      </c>
      <c r="DF1" s="6" t="s">
        <v>112</v>
      </c>
      <c r="DG1" s="7" t="s">
        <v>113</v>
      </c>
      <c r="DH1" s="6" t="s">
        <v>114</v>
      </c>
      <c r="DI1" s="7" t="s">
        <v>115</v>
      </c>
      <c r="DJ1" s="6" t="s">
        <v>116</v>
      </c>
      <c r="DK1" s="7" t="s">
        <v>117</v>
      </c>
      <c r="DL1" s="6" t="s">
        <v>118</v>
      </c>
      <c r="DM1" s="7" t="s">
        <v>119</v>
      </c>
      <c r="DN1" s="6" t="s">
        <v>120</v>
      </c>
      <c r="DO1" s="7" t="s">
        <v>121</v>
      </c>
      <c r="DP1" s="6" t="s">
        <v>122</v>
      </c>
      <c r="DQ1" s="7" t="s">
        <v>123</v>
      </c>
      <c r="DR1" s="6" t="s">
        <v>124</v>
      </c>
      <c r="DS1" s="7" t="s">
        <v>125</v>
      </c>
      <c r="DT1" s="6" t="s">
        <v>126</v>
      </c>
      <c r="DU1" s="7" t="s">
        <v>127</v>
      </c>
      <c r="DV1" s="6" t="s">
        <v>128</v>
      </c>
      <c r="DW1" s="7" t="s">
        <v>129</v>
      </c>
      <c r="DX1" s="6" t="s">
        <v>130</v>
      </c>
      <c r="DY1" s="7" t="s">
        <v>131</v>
      </c>
      <c r="DZ1" s="6" t="s">
        <v>132</v>
      </c>
      <c r="EA1" s="7" t="s">
        <v>133</v>
      </c>
      <c r="EB1" s="6" t="s">
        <v>134</v>
      </c>
      <c r="EC1" s="7" t="s">
        <v>135</v>
      </c>
      <c r="ED1" s="6" t="s">
        <v>136</v>
      </c>
      <c r="EE1" s="7" t="s">
        <v>137</v>
      </c>
      <c r="EF1" s="6" t="s">
        <v>138</v>
      </c>
      <c r="EG1" s="7" t="s">
        <v>139</v>
      </c>
      <c r="EH1" s="6" t="s">
        <v>140</v>
      </c>
      <c r="EI1" s="7" t="s">
        <v>141</v>
      </c>
      <c r="EJ1" s="6" t="s">
        <v>142</v>
      </c>
      <c r="EK1" s="7" t="s">
        <v>143</v>
      </c>
      <c r="EL1" s="6" t="s">
        <v>144</v>
      </c>
      <c r="EM1" s="7" t="s">
        <v>145</v>
      </c>
      <c r="EN1" s="6" t="s">
        <v>146</v>
      </c>
      <c r="EO1" s="7" t="s">
        <v>147</v>
      </c>
      <c r="EP1" s="6" t="s">
        <v>148</v>
      </c>
      <c r="EQ1" s="7" t="s">
        <v>149</v>
      </c>
      <c r="ER1" s="6" t="s">
        <v>150</v>
      </c>
      <c r="ES1" s="7" t="s">
        <v>151</v>
      </c>
      <c r="ET1" s="6" t="s">
        <v>152</v>
      </c>
      <c r="EU1" s="7" t="s">
        <v>153</v>
      </c>
      <c r="EV1" s="6" t="s">
        <v>154</v>
      </c>
      <c r="EW1" s="7" t="s">
        <v>155</v>
      </c>
      <c r="EX1" s="6" t="s">
        <v>156</v>
      </c>
      <c r="EY1" s="7" t="s">
        <v>157</v>
      </c>
      <c r="EZ1" s="6" t="s">
        <v>158</v>
      </c>
      <c r="FA1" s="7" t="s">
        <v>159</v>
      </c>
      <c r="FB1" s="6" t="s">
        <v>160</v>
      </c>
      <c r="FC1" s="7" t="s">
        <v>161</v>
      </c>
      <c r="FD1" s="6" t="s">
        <v>162</v>
      </c>
      <c r="FE1" s="7" t="s">
        <v>163</v>
      </c>
      <c r="FF1" s="6" t="s">
        <v>164</v>
      </c>
      <c r="FG1" s="7" t="s">
        <v>165</v>
      </c>
      <c r="FH1" s="6" t="s">
        <v>166</v>
      </c>
      <c r="FI1" s="7" t="s">
        <v>167</v>
      </c>
      <c r="FJ1" s="6" t="s">
        <v>190</v>
      </c>
      <c r="FK1" s="7" t="s">
        <v>168</v>
      </c>
      <c r="FL1" s="6" t="s">
        <v>169</v>
      </c>
      <c r="FM1" s="7" t="s">
        <v>170</v>
      </c>
      <c r="FN1" s="6" t="s">
        <v>171</v>
      </c>
      <c r="FO1" s="7" t="s">
        <v>172</v>
      </c>
      <c r="FP1" s="6" t="s">
        <v>173</v>
      </c>
      <c r="FQ1" s="7" t="s">
        <v>174</v>
      </c>
      <c r="FR1" s="6" t="s">
        <v>175</v>
      </c>
      <c r="FS1" s="7" t="s">
        <v>176</v>
      </c>
      <c r="FT1" s="6" t="s">
        <v>177</v>
      </c>
      <c r="FU1" s="7" t="s">
        <v>178</v>
      </c>
      <c r="FV1" s="6" t="s">
        <v>179</v>
      </c>
      <c r="FW1" s="7" t="s">
        <v>180</v>
      </c>
      <c r="FX1" s="6" t="s">
        <v>181</v>
      </c>
      <c r="FY1" s="7" t="s">
        <v>182</v>
      </c>
      <c r="FZ1" s="6" t="s">
        <v>183</v>
      </c>
      <c r="GA1" s="7" t="s">
        <v>184</v>
      </c>
      <c r="GB1" s="6" t="s">
        <v>185</v>
      </c>
      <c r="GC1" s="7" t="s">
        <v>186</v>
      </c>
      <c r="GD1" s="6" t="s">
        <v>187</v>
      </c>
      <c r="GE1" s="7" t="s">
        <v>188</v>
      </c>
      <c r="GF1" s="8" t="s">
        <v>189</v>
      </c>
    </row>
    <row r="2" spans="1:188" x14ac:dyDescent="0.35">
      <c r="A2" s="9" t="s">
        <v>1</v>
      </c>
      <c r="B2" s="12" t="s">
        <v>201</v>
      </c>
      <c r="C2" s="14">
        <v>4880</v>
      </c>
      <c r="D2" s="12">
        <v>27973</v>
      </c>
      <c r="E2" s="14">
        <v>907</v>
      </c>
      <c r="F2" s="12">
        <v>950</v>
      </c>
      <c r="G2" s="14">
        <v>86</v>
      </c>
      <c r="H2" s="12">
        <v>167416</v>
      </c>
      <c r="I2" s="14">
        <v>37390</v>
      </c>
      <c r="J2" s="12">
        <v>15303</v>
      </c>
      <c r="K2" s="14">
        <v>20558</v>
      </c>
      <c r="L2" s="12">
        <v>30446</v>
      </c>
      <c r="M2" s="14">
        <v>382</v>
      </c>
      <c r="N2" s="12">
        <v>39482</v>
      </c>
      <c r="O2" s="14">
        <v>226225</v>
      </c>
      <c r="P2" s="12">
        <v>110</v>
      </c>
      <c r="Q2" s="14">
        <v>67251</v>
      </c>
      <c r="R2" s="12">
        <v>66428</v>
      </c>
      <c r="S2" s="14">
        <v>48</v>
      </c>
      <c r="T2" s="12">
        <v>1770</v>
      </c>
      <c r="U2" s="14">
        <v>99</v>
      </c>
      <c r="V2" s="12">
        <v>71181</v>
      </c>
      <c r="W2" s="14">
        <v>10498</v>
      </c>
      <c r="X2" s="12">
        <v>739</v>
      </c>
      <c r="Y2" s="14">
        <v>2442375</v>
      </c>
      <c r="Z2" s="12">
        <v>141</v>
      </c>
      <c r="AA2" s="14">
        <v>10621</v>
      </c>
      <c r="AB2" s="12">
        <v>1100</v>
      </c>
      <c r="AC2" s="14">
        <v>350</v>
      </c>
      <c r="AD2" s="12">
        <v>378</v>
      </c>
      <c r="AE2" s="14">
        <v>2328</v>
      </c>
      <c r="AF2" s="12">
        <v>226</v>
      </c>
      <c r="AG2" s="14">
        <v>17110</v>
      </c>
      <c r="AH2" s="12">
        <v>116458</v>
      </c>
      <c r="AI2" s="14">
        <v>4599</v>
      </c>
      <c r="AJ2" s="12">
        <v>922</v>
      </c>
      <c r="AK2" s="14">
        <v>347923</v>
      </c>
      <c r="AL2" s="12">
        <v>86783</v>
      </c>
      <c r="AM2" s="14">
        <v>257101</v>
      </c>
      <c r="AN2" s="12">
        <v>354</v>
      </c>
      <c r="AO2" s="14">
        <v>3200</v>
      </c>
      <c r="AP2" s="12">
        <v>8844</v>
      </c>
      <c r="AQ2" s="14">
        <v>15841</v>
      </c>
      <c r="AR2" s="12">
        <v>15655</v>
      </c>
      <c r="AS2" s="14">
        <v>4881</v>
      </c>
      <c r="AT2" s="12">
        <v>2532</v>
      </c>
      <c r="AU2" s="14">
        <v>1060</v>
      </c>
      <c r="AV2" s="12">
        <v>15516</v>
      </c>
      <c r="AW2" s="14">
        <v>13761</v>
      </c>
      <c r="AX2" s="12">
        <v>5059</v>
      </c>
      <c r="AY2" s="14">
        <v>18</v>
      </c>
      <c r="AZ2" s="12">
        <v>64156</v>
      </c>
      <c r="BA2" s="14">
        <v>81161</v>
      </c>
      <c r="BB2" s="12">
        <v>92482</v>
      </c>
      <c r="BC2" s="14">
        <v>15035</v>
      </c>
      <c r="BD2" s="12">
        <v>3071</v>
      </c>
      <c r="BE2" s="14">
        <v>265</v>
      </c>
      <c r="BF2" s="12">
        <v>2034</v>
      </c>
      <c r="BG2" s="14">
        <v>2316</v>
      </c>
      <c r="BH2" s="12">
        <v>14547</v>
      </c>
      <c r="BI2" s="14">
        <v>27</v>
      </c>
      <c r="BJ2" s="12">
        <v>7398</v>
      </c>
      <c r="BK2" s="14">
        <v>220352</v>
      </c>
      <c r="BL2" s="12">
        <v>7189</v>
      </c>
      <c r="BM2" s="14">
        <v>326</v>
      </c>
      <c r="BN2" s="12">
        <v>1137</v>
      </c>
      <c r="BO2" s="14">
        <v>207112</v>
      </c>
      <c r="BP2" s="12">
        <v>33624</v>
      </c>
      <c r="BQ2" s="14">
        <v>4227</v>
      </c>
      <c r="BR2" s="12">
        <v>14</v>
      </c>
      <c r="BS2" s="14">
        <v>23</v>
      </c>
      <c r="BT2" s="12">
        <v>45309</v>
      </c>
      <c r="BU2" s="14">
        <v>7055</v>
      </c>
      <c r="BV2" s="12">
        <v>1954</v>
      </c>
      <c r="BW2" s="14">
        <v>389</v>
      </c>
      <c r="BX2" s="12">
        <v>7340</v>
      </c>
      <c r="BY2" s="14">
        <v>12</v>
      </c>
      <c r="BZ2" s="12">
        <v>39741</v>
      </c>
      <c r="CA2" s="14">
        <v>4448</v>
      </c>
      <c r="CB2" s="12">
        <v>1854</v>
      </c>
      <c r="CC2" s="14">
        <v>1480073</v>
      </c>
      <c r="CD2" s="12">
        <v>100303</v>
      </c>
      <c r="CE2" s="14">
        <v>293606</v>
      </c>
      <c r="CF2" s="12">
        <v>112585</v>
      </c>
      <c r="CG2" s="14">
        <v>25892</v>
      </c>
      <c r="CH2" s="12">
        <v>63985</v>
      </c>
      <c r="CI2" s="14">
        <v>246286</v>
      </c>
      <c r="CJ2" s="12">
        <v>853</v>
      </c>
      <c r="CK2" s="14">
        <v>31142</v>
      </c>
      <c r="CL2" s="12">
        <v>1176</v>
      </c>
      <c r="CM2" s="14">
        <v>84648</v>
      </c>
      <c r="CN2" s="12">
        <v>17975</v>
      </c>
      <c r="CO2" s="14">
        <v>7413</v>
      </c>
      <c r="CP2" s="12">
        <v>64379</v>
      </c>
      <c r="CQ2" s="14">
        <v>33296</v>
      </c>
      <c r="CR2" s="12">
        <v>20</v>
      </c>
      <c r="CS2" s="14">
        <v>1219</v>
      </c>
      <c r="CT2" s="12">
        <v>3882</v>
      </c>
      <c r="CU2" s="14">
        <v>505</v>
      </c>
      <c r="CV2" s="12">
        <v>1167</v>
      </c>
      <c r="CW2" s="14">
        <v>2827</v>
      </c>
      <c r="CX2" s="12">
        <v>86</v>
      </c>
      <c r="CY2" s="14">
        <v>2019</v>
      </c>
      <c r="CZ2" s="12">
        <v>6321</v>
      </c>
      <c r="DA2" s="14">
        <v>9690</v>
      </c>
      <c r="DB2" s="12">
        <v>3664</v>
      </c>
      <c r="DC2" s="14">
        <v>8904</v>
      </c>
      <c r="DD2" s="12">
        <v>3369</v>
      </c>
      <c r="DE2" s="14">
        <v>2513</v>
      </c>
      <c r="DF2" s="12">
        <v>701</v>
      </c>
      <c r="DG2" s="14">
        <v>6208</v>
      </c>
      <c r="DH2" s="12">
        <v>344</v>
      </c>
      <c r="DI2" s="14">
        <v>395489</v>
      </c>
      <c r="DJ2" s="12">
        <v>23154</v>
      </c>
      <c r="DK2" s="14">
        <v>116</v>
      </c>
      <c r="DL2" s="12">
        <v>289</v>
      </c>
      <c r="DM2" s="14">
        <v>2893</v>
      </c>
      <c r="DN2" s="12">
        <v>20887</v>
      </c>
      <c r="DO2" s="14">
        <v>1701</v>
      </c>
      <c r="DP2" s="12">
        <v>1843</v>
      </c>
      <c r="DQ2" s="14">
        <v>18752</v>
      </c>
      <c r="DR2" s="12">
        <v>53413</v>
      </c>
      <c r="DS2" s="14">
        <v>1557</v>
      </c>
      <c r="DT2" s="12">
        <v>3439</v>
      </c>
      <c r="DU2" s="14">
        <v>1132</v>
      </c>
      <c r="DV2" s="12">
        <v>41180</v>
      </c>
      <c r="DW2" s="14">
        <v>10213</v>
      </c>
      <c r="DX2" s="12">
        <v>9132</v>
      </c>
      <c r="DY2" s="14">
        <v>77058</v>
      </c>
      <c r="DZ2" s="12">
        <v>274289</v>
      </c>
      <c r="EA2" s="14">
        <v>61442</v>
      </c>
      <c r="EB2" s="12">
        <v>62</v>
      </c>
      <c r="EC2" s="14">
        <v>4548</v>
      </c>
      <c r="ED2" s="12">
        <v>389717</v>
      </c>
      <c r="EE2" s="14">
        <v>82040</v>
      </c>
      <c r="EF2" s="12">
        <v>43402</v>
      </c>
      <c r="EG2" s="14">
        <v>50299</v>
      </c>
      <c r="EH2" s="12">
        <v>109597</v>
      </c>
      <c r="EI2" s="14">
        <v>45902</v>
      </c>
      <c r="EJ2" s="12">
        <v>816680</v>
      </c>
      <c r="EK2" s="14">
        <v>1879</v>
      </c>
      <c r="EL2" s="12">
        <v>17</v>
      </c>
      <c r="EM2" s="14">
        <v>24</v>
      </c>
      <c r="EN2" s="12">
        <v>52</v>
      </c>
      <c r="EO2" s="14">
        <v>699</v>
      </c>
      <c r="EP2" s="12">
        <v>865</v>
      </c>
      <c r="EQ2" s="14">
        <v>268934</v>
      </c>
      <c r="ER2" s="12">
        <v>9764</v>
      </c>
      <c r="ES2" s="14">
        <v>24141</v>
      </c>
      <c r="ET2" s="12">
        <v>114</v>
      </c>
      <c r="EU2" s="14">
        <v>1783</v>
      </c>
      <c r="EV2" s="12">
        <v>50838</v>
      </c>
      <c r="EW2" s="14">
        <v>2181</v>
      </c>
      <c r="EX2" s="12">
        <v>2087</v>
      </c>
      <c r="EY2" s="14">
        <v>3196</v>
      </c>
      <c r="EZ2" s="12">
        <v>452529</v>
      </c>
      <c r="FA2" s="14">
        <v>14203</v>
      </c>
      <c r="FB2" s="12">
        <v>2305</v>
      </c>
      <c r="FC2" s="14">
        <v>272421</v>
      </c>
      <c r="FD2" s="12">
        <v>2805</v>
      </c>
      <c r="FE2" s="14">
        <v>11424</v>
      </c>
      <c r="FF2" s="12">
        <v>1483</v>
      </c>
      <c r="FG2" s="14">
        <v>79395</v>
      </c>
      <c r="FH2" s="12">
        <v>34477</v>
      </c>
      <c r="FI2" s="14">
        <v>674</v>
      </c>
      <c r="FJ2" s="12">
        <v>462</v>
      </c>
      <c r="FK2" s="14">
        <v>7235</v>
      </c>
      <c r="FL2" s="12">
        <v>509</v>
      </c>
      <c r="FM2" s="14">
        <v>3297</v>
      </c>
      <c r="FN2" s="12">
        <v>24</v>
      </c>
      <c r="FO2" s="14">
        <v>874</v>
      </c>
      <c r="FP2" s="12">
        <v>148</v>
      </c>
      <c r="FQ2" s="14">
        <v>1455</v>
      </c>
      <c r="FR2" s="12">
        <v>227019</v>
      </c>
      <c r="FS2" s="14">
        <v>4290259</v>
      </c>
      <c r="FT2" s="12">
        <v>1128</v>
      </c>
      <c r="FU2" s="14">
        <v>67096</v>
      </c>
      <c r="FV2" s="12">
        <v>59177</v>
      </c>
      <c r="FW2" s="14">
        <v>301708</v>
      </c>
      <c r="FX2" s="12">
        <v>1202</v>
      </c>
      <c r="FY2" s="14">
        <v>21209</v>
      </c>
      <c r="FZ2" s="12">
        <v>15988</v>
      </c>
      <c r="GA2" s="14">
        <v>431</v>
      </c>
      <c r="GB2" s="12">
        <v>10621</v>
      </c>
      <c r="GC2" s="14">
        <v>10</v>
      </c>
      <c r="GD2" s="12">
        <v>1691</v>
      </c>
      <c r="GE2" s="14">
        <v>4552</v>
      </c>
      <c r="GF2" s="19">
        <v>2704</v>
      </c>
    </row>
    <row r="3" spans="1:188" x14ac:dyDescent="0.35">
      <c r="A3" s="9" t="s">
        <v>2</v>
      </c>
      <c r="B3" s="12" t="s">
        <v>202</v>
      </c>
      <c r="C3" s="14">
        <v>144</v>
      </c>
      <c r="D3" s="12">
        <v>1163</v>
      </c>
      <c r="E3" s="14">
        <v>52</v>
      </c>
      <c r="F3" s="12">
        <v>41</v>
      </c>
      <c r="G3" s="14">
        <v>3</v>
      </c>
      <c r="H3" s="12">
        <v>3059</v>
      </c>
      <c r="I3" s="14">
        <v>711</v>
      </c>
      <c r="J3" s="12">
        <v>167</v>
      </c>
      <c r="K3" s="14">
        <v>713</v>
      </c>
      <c r="L3" s="12">
        <v>423</v>
      </c>
      <c r="M3" s="14">
        <v>11</v>
      </c>
      <c r="N3" s="12">
        <v>141</v>
      </c>
      <c r="O3" s="14">
        <v>2965</v>
      </c>
      <c r="P3" s="12">
        <v>7</v>
      </c>
      <c r="Q3" s="14">
        <v>538</v>
      </c>
      <c r="R3" s="12">
        <v>9822</v>
      </c>
      <c r="S3" s="14">
        <v>2</v>
      </c>
      <c r="T3" s="12">
        <v>35</v>
      </c>
      <c r="U3" s="14">
        <v>0</v>
      </c>
      <c r="V3" s="12">
        <v>2647</v>
      </c>
      <c r="W3" s="14">
        <v>294</v>
      </c>
      <c r="X3" s="12">
        <v>2</v>
      </c>
      <c r="Y3" s="14">
        <v>87618</v>
      </c>
      <c r="Z3" s="12">
        <v>3</v>
      </c>
      <c r="AA3" s="14">
        <v>347</v>
      </c>
      <c r="AB3" s="12">
        <v>53</v>
      </c>
      <c r="AC3" s="14">
        <v>6</v>
      </c>
      <c r="AD3" s="12">
        <v>1</v>
      </c>
      <c r="AE3" s="14">
        <v>22</v>
      </c>
      <c r="AF3" s="12">
        <v>0</v>
      </c>
      <c r="AG3" s="14">
        <v>391</v>
      </c>
      <c r="AH3" s="12">
        <v>8944</v>
      </c>
      <c r="AI3" s="14">
        <v>59</v>
      </c>
      <c r="AJ3" s="12">
        <v>75</v>
      </c>
      <c r="AK3" s="14">
        <v>9187</v>
      </c>
      <c r="AL3" s="12">
        <v>4656</v>
      </c>
      <c r="AM3" s="14">
        <v>8777</v>
      </c>
      <c r="AN3" s="12">
        <v>7</v>
      </c>
      <c r="AO3" s="14">
        <v>54</v>
      </c>
      <c r="AP3" s="12">
        <v>208</v>
      </c>
      <c r="AQ3" s="14">
        <v>115</v>
      </c>
      <c r="AR3" s="12">
        <v>96</v>
      </c>
      <c r="AS3" s="14">
        <v>139</v>
      </c>
      <c r="AT3" s="12">
        <v>87</v>
      </c>
      <c r="AU3" s="14">
        <v>19</v>
      </c>
      <c r="AV3" s="12">
        <v>373</v>
      </c>
      <c r="AW3" s="14">
        <v>613</v>
      </c>
      <c r="AX3" s="12">
        <v>58</v>
      </c>
      <c r="AY3" s="14">
        <v>0</v>
      </c>
      <c r="AZ3" s="12">
        <v>1083</v>
      </c>
      <c r="BA3" s="14">
        <v>5532</v>
      </c>
      <c r="BB3" s="12">
        <v>4652</v>
      </c>
      <c r="BC3" s="14">
        <v>408</v>
      </c>
      <c r="BD3" s="12">
        <v>51</v>
      </c>
      <c r="BE3" s="14">
        <v>0</v>
      </c>
      <c r="BF3" s="12">
        <v>69</v>
      </c>
      <c r="BG3" s="14">
        <v>34</v>
      </c>
      <c r="BH3" s="12">
        <v>228</v>
      </c>
      <c r="BI3" s="14">
        <v>0</v>
      </c>
      <c r="BJ3" s="12">
        <v>329</v>
      </c>
      <c r="BK3" s="14">
        <v>30212</v>
      </c>
      <c r="BL3" s="12">
        <v>49</v>
      </c>
      <c r="BM3" s="14">
        <v>8</v>
      </c>
      <c r="BN3" s="12">
        <v>16</v>
      </c>
      <c r="BO3" s="14">
        <v>9125</v>
      </c>
      <c r="BP3" s="12">
        <v>168</v>
      </c>
      <c r="BQ3" s="14">
        <v>202</v>
      </c>
      <c r="BR3" s="12">
        <v>0</v>
      </c>
      <c r="BS3" s="14">
        <v>0</v>
      </c>
      <c r="BT3" s="12">
        <v>1761</v>
      </c>
      <c r="BU3" s="14">
        <v>45</v>
      </c>
      <c r="BV3" s="12">
        <v>26</v>
      </c>
      <c r="BW3" s="14">
        <v>20</v>
      </c>
      <c r="BX3" s="12">
        <v>158</v>
      </c>
      <c r="BY3" s="14">
        <v>0</v>
      </c>
      <c r="BZ3" s="12">
        <v>1166</v>
      </c>
      <c r="CA3" s="14">
        <v>596</v>
      </c>
      <c r="CB3" s="12">
        <v>10</v>
      </c>
      <c r="CC3" s="14">
        <v>33408</v>
      </c>
      <c r="CD3" s="12">
        <v>4838</v>
      </c>
      <c r="CE3" s="14">
        <v>15912</v>
      </c>
      <c r="CF3" s="12">
        <v>4458</v>
      </c>
      <c r="CG3" s="14">
        <v>1764</v>
      </c>
      <c r="CH3" s="12">
        <v>474</v>
      </c>
      <c r="CI3" s="14">
        <v>35112</v>
      </c>
      <c r="CJ3" s="12">
        <v>10</v>
      </c>
      <c r="CK3" s="14">
        <v>998</v>
      </c>
      <c r="CL3" s="12">
        <v>11</v>
      </c>
      <c r="CM3" s="14">
        <v>585</v>
      </c>
      <c r="CN3" s="12">
        <v>285</v>
      </c>
      <c r="CO3" s="14">
        <v>185</v>
      </c>
      <c r="CP3" s="12">
        <v>438</v>
      </c>
      <c r="CQ3" s="14">
        <v>1301</v>
      </c>
      <c r="CR3" s="12">
        <v>0</v>
      </c>
      <c r="CS3" s="14">
        <v>31</v>
      </c>
      <c r="CT3" s="12">
        <v>51</v>
      </c>
      <c r="CU3" s="14">
        <v>12</v>
      </c>
      <c r="CV3" s="12">
        <v>72</v>
      </c>
      <c r="CW3" s="14">
        <v>64</v>
      </c>
      <c r="CX3" s="12">
        <v>1</v>
      </c>
      <c r="CY3" s="14">
        <v>80</v>
      </c>
      <c r="CZ3" s="12">
        <v>112</v>
      </c>
      <c r="DA3" s="14">
        <v>91</v>
      </c>
      <c r="DB3" s="12">
        <v>99</v>
      </c>
      <c r="DC3" s="14">
        <v>124</v>
      </c>
      <c r="DD3" s="12">
        <v>15</v>
      </c>
      <c r="DE3" s="14">
        <v>124</v>
      </c>
      <c r="DF3" s="12">
        <v>9</v>
      </c>
      <c r="DG3" s="14">
        <v>156</v>
      </c>
      <c r="DH3" s="12">
        <v>10</v>
      </c>
      <c r="DI3" s="14">
        <v>44022</v>
      </c>
      <c r="DJ3" s="12">
        <v>748</v>
      </c>
      <c r="DK3" s="14">
        <v>4</v>
      </c>
      <c r="DL3" s="12">
        <v>0</v>
      </c>
      <c r="DM3" s="14">
        <v>45</v>
      </c>
      <c r="DN3" s="12">
        <v>316</v>
      </c>
      <c r="DO3" s="14">
        <v>11</v>
      </c>
      <c r="DP3" s="12">
        <v>8</v>
      </c>
      <c r="DQ3" s="14">
        <v>48</v>
      </c>
      <c r="DR3" s="12">
        <v>6160</v>
      </c>
      <c r="DS3" s="14">
        <v>22</v>
      </c>
      <c r="DT3" s="12">
        <v>108</v>
      </c>
      <c r="DU3" s="14">
        <v>69</v>
      </c>
      <c r="DV3" s="12">
        <v>860</v>
      </c>
      <c r="DW3" s="14">
        <v>466</v>
      </c>
      <c r="DX3" s="12">
        <v>255</v>
      </c>
      <c r="DY3" s="14">
        <v>393</v>
      </c>
      <c r="DZ3" s="12">
        <v>5842</v>
      </c>
      <c r="EA3" s="14">
        <v>1322</v>
      </c>
      <c r="EB3" s="12">
        <v>0</v>
      </c>
      <c r="EC3" s="14">
        <v>43</v>
      </c>
      <c r="ED3" s="12">
        <v>18418</v>
      </c>
      <c r="EE3" s="14">
        <v>1945</v>
      </c>
      <c r="EF3" s="12">
        <v>1676</v>
      </c>
      <c r="EG3" s="14">
        <v>1719</v>
      </c>
      <c r="EH3" s="12">
        <v>165</v>
      </c>
      <c r="EI3" s="14">
        <v>2206</v>
      </c>
      <c r="EJ3" s="12">
        <v>13334</v>
      </c>
      <c r="EK3" s="14">
        <v>5</v>
      </c>
      <c r="EL3" s="12">
        <v>0</v>
      </c>
      <c r="EM3" s="14">
        <v>0</v>
      </c>
      <c r="EN3" s="12">
        <v>0</v>
      </c>
      <c r="EO3" s="14">
        <v>42</v>
      </c>
      <c r="EP3" s="12">
        <v>14</v>
      </c>
      <c r="EQ3" s="14">
        <v>2760</v>
      </c>
      <c r="ER3" s="12">
        <v>194</v>
      </c>
      <c r="ES3" s="14">
        <v>543</v>
      </c>
      <c r="ET3" s="12">
        <v>0</v>
      </c>
      <c r="EU3" s="14">
        <v>66</v>
      </c>
      <c r="EV3" s="12">
        <v>27</v>
      </c>
      <c r="EW3" s="14">
        <v>28</v>
      </c>
      <c r="EX3" s="12">
        <v>116</v>
      </c>
      <c r="EY3" s="14">
        <v>93</v>
      </c>
      <c r="EZ3" s="12">
        <v>7067</v>
      </c>
      <c r="FA3" s="14">
        <v>300</v>
      </c>
      <c r="FB3" s="12">
        <v>46</v>
      </c>
      <c r="FC3" s="14">
        <v>28432</v>
      </c>
      <c r="FD3" s="12">
        <v>11</v>
      </c>
      <c r="FE3" s="14">
        <v>720</v>
      </c>
      <c r="FF3" s="12">
        <v>24</v>
      </c>
      <c r="FG3" s="14">
        <v>5700</v>
      </c>
      <c r="FH3" s="12">
        <v>1978</v>
      </c>
      <c r="FI3" s="14">
        <v>40</v>
      </c>
      <c r="FJ3" s="12">
        <v>7</v>
      </c>
      <c r="FK3" s="14">
        <v>60</v>
      </c>
      <c r="FL3" s="12">
        <v>21</v>
      </c>
      <c r="FM3" s="14">
        <v>58</v>
      </c>
      <c r="FN3" s="12">
        <v>0</v>
      </c>
      <c r="FO3" s="14">
        <v>18</v>
      </c>
      <c r="FP3" s="12">
        <v>8</v>
      </c>
      <c r="FQ3" s="14">
        <v>50</v>
      </c>
      <c r="FR3" s="12">
        <v>5630</v>
      </c>
      <c r="FS3" s="14">
        <v>148011</v>
      </c>
      <c r="FT3" s="12">
        <v>2</v>
      </c>
      <c r="FU3" s="14">
        <v>1636</v>
      </c>
      <c r="FV3" s="12">
        <v>345</v>
      </c>
      <c r="FW3" s="14">
        <v>45844</v>
      </c>
      <c r="FX3" s="12">
        <v>35</v>
      </c>
      <c r="FY3" s="14">
        <v>121</v>
      </c>
      <c r="FZ3" s="12">
        <v>146</v>
      </c>
      <c r="GA3" s="14">
        <v>0</v>
      </c>
      <c r="GB3" s="12">
        <v>78</v>
      </c>
      <c r="GC3" s="14">
        <v>1</v>
      </c>
      <c r="GD3" s="12">
        <v>483</v>
      </c>
      <c r="GE3" s="14">
        <v>140</v>
      </c>
      <c r="GF3" s="19">
        <v>36</v>
      </c>
    </row>
    <row r="4" spans="1:188" x14ac:dyDescent="0.35">
      <c r="A4" s="9" t="s">
        <v>3</v>
      </c>
      <c r="B4" s="12" t="s">
        <v>203</v>
      </c>
      <c r="C4" s="14">
        <v>2745</v>
      </c>
      <c r="D4" s="12">
        <v>18837</v>
      </c>
      <c r="E4" s="14">
        <v>803</v>
      </c>
      <c r="F4" s="12">
        <v>242</v>
      </c>
      <c r="G4" s="14">
        <v>65</v>
      </c>
      <c r="H4" s="12">
        <v>72575</v>
      </c>
      <c r="I4" s="14">
        <v>26665</v>
      </c>
      <c r="J4" s="12">
        <v>9311</v>
      </c>
      <c r="K4" s="14">
        <v>18246</v>
      </c>
      <c r="L4" s="12">
        <v>23242</v>
      </c>
      <c r="M4" s="14">
        <v>91</v>
      </c>
      <c r="N4" s="12">
        <v>36110</v>
      </c>
      <c r="O4" s="14">
        <v>125683</v>
      </c>
      <c r="P4" s="12">
        <v>94</v>
      </c>
      <c r="Q4" s="14">
        <v>60492</v>
      </c>
      <c r="R4" s="12">
        <v>17452</v>
      </c>
      <c r="S4" s="14">
        <v>26</v>
      </c>
      <c r="T4" s="12">
        <v>1036</v>
      </c>
      <c r="U4" s="14">
        <v>86</v>
      </c>
      <c r="V4" s="12">
        <v>21478</v>
      </c>
      <c r="W4" s="14">
        <v>4930</v>
      </c>
      <c r="X4" s="12">
        <v>63</v>
      </c>
      <c r="Y4" s="14">
        <v>1846641</v>
      </c>
      <c r="Z4" s="12">
        <v>138</v>
      </c>
      <c r="AA4" s="14">
        <v>5585</v>
      </c>
      <c r="AB4" s="12">
        <v>926</v>
      </c>
      <c r="AC4" s="14">
        <v>292</v>
      </c>
      <c r="AD4" s="12">
        <v>301</v>
      </c>
      <c r="AE4" s="14">
        <v>1550</v>
      </c>
      <c r="AF4" s="12">
        <v>147</v>
      </c>
      <c r="AG4" s="14">
        <v>14539</v>
      </c>
      <c r="AH4" s="12">
        <v>0</v>
      </c>
      <c r="AI4" s="14">
        <v>1546</v>
      </c>
      <c r="AJ4" s="12">
        <v>810</v>
      </c>
      <c r="AK4" s="14">
        <v>319954</v>
      </c>
      <c r="AL4" s="12">
        <v>78869</v>
      </c>
      <c r="AM4" s="14">
        <v>131161</v>
      </c>
      <c r="AN4" s="12">
        <v>328</v>
      </c>
      <c r="AO4" s="14">
        <v>829</v>
      </c>
      <c r="AP4" s="12">
        <v>5700</v>
      </c>
      <c r="AQ4" s="14">
        <v>3824</v>
      </c>
      <c r="AR4" s="12">
        <v>10361</v>
      </c>
      <c r="AS4" s="14">
        <v>3936</v>
      </c>
      <c r="AT4" s="12">
        <v>2351</v>
      </c>
      <c r="AU4" s="14">
        <v>852</v>
      </c>
      <c r="AV4" s="12">
        <v>11428</v>
      </c>
      <c r="AW4" s="14">
        <v>12605</v>
      </c>
      <c r="AX4" s="12">
        <v>4977</v>
      </c>
      <c r="AY4" s="14">
        <v>18</v>
      </c>
      <c r="AZ4" s="12">
        <v>30204</v>
      </c>
      <c r="BA4" s="14">
        <v>34896</v>
      </c>
      <c r="BB4" s="12">
        <v>34838</v>
      </c>
      <c r="BC4" s="14">
        <v>7778</v>
      </c>
      <c r="BD4" s="12">
        <v>842</v>
      </c>
      <c r="BE4" s="14">
        <v>191</v>
      </c>
      <c r="BF4" s="12">
        <v>1923</v>
      </c>
      <c r="BG4" s="14">
        <v>1025</v>
      </c>
      <c r="BH4" s="12">
        <v>6386</v>
      </c>
      <c r="BI4" s="14">
        <v>18</v>
      </c>
      <c r="BJ4" s="12">
        <v>6920</v>
      </c>
      <c r="BK4" s="14">
        <v>81212</v>
      </c>
      <c r="BL4" s="12">
        <v>4682</v>
      </c>
      <c r="BM4" s="14">
        <v>66</v>
      </c>
      <c r="BN4" s="12">
        <v>922</v>
      </c>
      <c r="BO4" s="14">
        <v>190314</v>
      </c>
      <c r="BP4" s="12">
        <v>29801</v>
      </c>
      <c r="BQ4" s="14">
        <v>1374</v>
      </c>
      <c r="BR4" s="12">
        <v>13</v>
      </c>
      <c r="BS4" s="14">
        <v>23</v>
      </c>
      <c r="BT4" s="12">
        <v>32455</v>
      </c>
      <c r="BU4" s="14">
        <v>6257</v>
      </c>
      <c r="BV4" s="12">
        <v>803</v>
      </c>
      <c r="BW4" s="14">
        <v>181</v>
      </c>
      <c r="BX4" s="12">
        <v>4365</v>
      </c>
      <c r="BY4" s="14">
        <v>12</v>
      </c>
      <c r="BZ4" s="12">
        <v>5039</v>
      </c>
      <c r="CA4" s="14">
        <v>3329</v>
      </c>
      <c r="CB4" s="12">
        <v>1823</v>
      </c>
      <c r="CC4" s="14">
        <v>951166</v>
      </c>
      <c r="CD4" s="12">
        <v>58173</v>
      </c>
      <c r="CE4" s="14">
        <v>255144</v>
      </c>
      <c r="CF4" s="12">
        <v>77144</v>
      </c>
      <c r="CG4" s="14">
        <v>23364</v>
      </c>
      <c r="CH4" s="12">
        <v>27133</v>
      </c>
      <c r="CI4" s="14">
        <v>198593</v>
      </c>
      <c r="CJ4" s="12">
        <v>714</v>
      </c>
      <c r="CK4" s="14">
        <v>21970</v>
      </c>
      <c r="CL4" s="12">
        <v>1041</v>
      </c>
      <c r="CM4" s="14">
        <v>54404</v>
      </c>
      <c r="CN4" s="12">
        <v>7833</v>
      </c>
      <c r="CO4" s="14">
        <v>4027</v>
      </c>
      <c r="CP4" s="12">
        <v>55057</v>
      </c>
      <c r="CQ4" s="14">
        <v>21205</v>
      </c>
      <c r="CR4" s="12">
        <v>19</v>
      </c>
      <c r="CS4" s="14">
        <v>1045</v>
      </c>
      <c r="CT4" s="12">
        <v>1709</v>
      </c>
      <c r="CU4" s="14">
        <v>128</v>
      </c>
      <c r="CV4" s="12">
        <v>646</v>
      </c>
      <c r="CW4" s="14">
        <v>577</v>
      </c>
      <c r="CX4" s="12">
        <v>81</v>
      </c>
      <c r="CY4" s="14">
        <v>1620</v>
      </c>
      <c r="CZ4" s="12">
        <v>4825</v>
      </c>
      <c r="DA4" s="14">
        <v>6260</v>
      </c>
      <c r="DB4" s="12">
        <v>1645</v>
      </c>
      <c r="DC4" s="14">
        <v>8601</v>
      </c>
      <c r="DD4" s="12">
        <v>2547</v>
      </c>
      <c r="DE4" s="14">
        <v>1913</v>
      </c>
      <c r="DF4" s="12">
        <v>665</v>
      </c>
      <c r="DG4" s="14">
        <v>4653</v>
      </c>
      <c r="DH4" s="12">
        <v>332</v>
      </c>
      <c r="DI4" s="14">
        <v>303810</v>
      </c>
      <c r="DJ4" s="12">
        <v>16154</v>
      </c>
      <c r="DK4" s="14">
        <v>104</v>
      </c>
      <c r="DL4" s="12">
        <v>222</v>
      </c>
      <c r="DM4" s="14">
        <v>809</v>
      </c>
      <c r="DN4" s="12">
        <v>16553</v>
      </c>
      <c r="DO4" s="14">
        <v>0</v>
      </c>
      <c r="DP4" s="12">
        <v>101</v>
      </c>
      <c r="DQ4" s="14">
        <v>13754</v>
      </c>
      <c r="DR4" s="12">
        <v>189</v>
      </c>
      <c r="DS4" s="14">
        <v>1514</v>
      </c>
      <c r="DT4" s="12">
        <v>2492</v>
      </c>
      <c r="DU4" s="14">
        <v>1027</v>
      </c>
      <c r="DV4" s="12">
        <v>18203</v>
      </c>
      <c r="DW4" s="14">
        <v>5564</v>
      </c>
      <c r="DX4" s="12">
        <v>8752</v>
      </c>
      <c r="DY4" s="14">
        <v>57028</v>
      </c>
      <c r="DZ4" s="12">
        <v>241026</v>
      </c>
      <c r="EA4" s="14">
        <v>35086</v>
      </c>
      <c r="EB4" s="12">
        <v>11</v>
      </c>
      <c r="EC4" s="14">
        <v>2905</v>
      </c>
      <c r="ED4" s="12">
        <v>272547</v>
      </c>
      <c r="EE4" s="14">
        <v>26446</v>
      </c>
      <c r="EF4" s="12">
        <v>32856</v>
      </c>
      <c r="EG4" s="14">
        <v>35375</v>
      </c>
      <c r="EH4" s="12">
        <v>106328</v>
      </c>
      <c r="EI4" s="14">
        <v>25794</v>
      </c>
      <c r="EJ4" s="12">
        <v>602249</v>
      </c>
      <c r="EK4" s="14">
        <v>975</v>
      </c>
      <c r="EL4" s="12">
        <v>15</v>
      </c>
      <c r="EM4" s="14">
        <v>22</v>
      </c>
      <c r="EN4" s="12">
        <v>39</v>
      </c>
      <c r="EO4" s="14">
        <v>657</v>
      </c>
      <c r="EP4" s="12">
        <v>734</v>
      </c>
      <c r="EQ4" s="14">
        <v>222936</v>
      </c>
      <c r="ER4" s="12">
        <v>6477</v>
      </c>
      <c r="ES4" s="14">
        <v>0</v>
      </c>
      <c r="ET4" s="12">
        <v>39</v>
      </c>
      <c r="EU4" s="14">
        <v>1317</v>
      </c>
      <c r="EV4" s="12">
        <v>45692</v>
      </c>
      <c r="EW4" s="14">
        <v>1616</v>
      </c>
      <c r="EX4" s="12">
        <v>1733</v>
      </c>
      <c r="EY4" s="14">
        <v>1543</v>
      </c>
      <c r="EZ4" s="12">
        <v>274925</v>
      </c>
      <c r="FA4" s="14">
        <v>13007</v>
      </c>
      <c r="FB4" s="12">
        <v>1175</v>
      </c>
      <c r="FC4" s="14">
        <v>150376</v>
      </c>
      <c r="FD4" s="12">
        <v>2121</v>
      </c>
      <c r="FE4" s="14">
        <v>5939</v>
      </c>
      <c r="FF4" s="12">
        <v>925</v>
      </c>
      <c r="FG4" s="14">
        <v>0</v>
      </c>
      <c r="FH4" s="12">
        <v>30900</v>
      </c>
      <c r="FI4" s="14">
        <v>0</v>
      </c>
      <c r="FJ4" s="12">
        <v>440</v>
      </c>
      <c r="FK4" s="14">
        <v>6028</v>
      </c>
      <c r="FL4" s="12">
        <v>183</v>
      </c>
      <c r="FM4" s="14">
        <v>3111</v>
      </c>
      <c r="FN4" s="12">
        <v>0</v>
      </c>
      <c r="FO4" s="14">
        <v>607</v>
      </c>
      <c r="FP4" s="12">
        <v>128</v>
      </c>
      <c r="FQ4" s="14">
        <v>1157</v>
      </c>
      <c r="FR4" s="12">
        <v>210469</v>
      </c>
      <c r="FS4" s="14">
        <v>1325804</v>
      </c>
      <c r="FT4" s="12">
        <v>986</v>
      </c>
      <c r="FU4" s="14">
        <v>37202</v>
      </c>
      <c r="FV4" s="12">
        <v>52510</v>
      </c>
      <c r="FW4" s="14">
        <v>1437</v>
      </c>
      <c r="FX4" s="12">
        <v>951</v>
      </c>
      <c r="FY4" s="14">
        <v>11674</v>
      </c>
      <c r="FZ4" s="12">
        <v>9959</v>
      </c>
      <c r="GA4" s="14">
        <v>365</v>
      </c>
      <c r="GB4" s="12">
        <v>3752</v>
      </c>
      <c r="GC4" s="14">
        <v>8</v>
      </c>
      <c r="GD4" s="12">
        <v>833</v>
      </c>
      <c r="GE4" s="14">
        <v>2815</v>
      </c>
      <c r="GF4" s="19">
        <v>542</v>
      </c>
    </row>
    <row r="5" spans="1:188" x14ac:dyDescent="0.35">
      <c r="A5" s="9" t="s">
        <v>4</v>
      </c>
      <c r="B5" s="12" t="s">
        <v>204</v>
      </c>
      <c r="C5" s="14">
        <v>1991</v>
      </c>
      <c r="D5" s="12">
        <v>7973</v>
      </c>
      <c r="E5" s="14">
        <v>52</v>
      </c>
      <c r="F5" s="12">
        <v>667</v>
      </c>
      <c r="G5" s="14">
        <v>18</v>
      </c>
      <c r="H5" s="12">
        <v>91782</v>
      </c>
      <c r="I5" s="14">
        <v>10014</v>
      </c>
      <c r="J5" s="12">
        <v>5825</v>
      </c>
      <c r="K5" s="14">
        <v>1599</v>
      </c>
      <c r="L5" s="12">
        <v>6781</v>
      </c>
      <c r="M5" s="14">
        <v>280</v>
      </c>
      <c r="N5" s="12">
        <v>3231</v>
      </c>
      <c r="O5" s="14">
        <v>97577</v>
      </c>
      <c r="P5" s="12">
        <v>9</v>
      </c>
      <c r="Q5" s="14">
        <v>6221</v>
      </c>
      <c r="R5" s="12">
        <v>39154</v>
      </c>
      <c r="S5" s="14">
        <v>20</v>
      </c>
      <c r="T5" s="12">
        <v>699</v>
      </c>
      <c r="U5" s="14">
        <v>13</v>
      </c>
      <c r="V5" s="12">
        <v>47056</v>
      </c>
      <c r="W5" s="14">
        <v>5274</v>
      </c>
      <c r="X5" s="12">
        <v>674</v>
      </c>
      <c r="Y5" s="14">
        <v>508116</v>
      </c>
      <c r="Z5" s="12">
        <v>0</v>
      </c>
      <c r="AA5" s="14">
        <v>4689</v>
      </c>
      <c r="AB5" s="12">
        <v>121</v>
      </c>
      <c r="AC5" s="14">
        <v>52</v>
      </c>
      <c r="AD5" s="12">
        <v>76</v>
      </c>
      <c r="AE5" s="14">
        <v>756</v>
      </c>
      <c r="AF5" s="12">
        <v>79</v>
      </c>
      <c r="AG5" s="14">
        <v>2180</v>
      </c>
      <c r="AH5" s="12">
        <v>107514</v>
      </c>
      <c r="AI5" s="14">
        <v>2994</v>
      </c>
      <c r="AJ5" s="12">
        <v>37</v>
      </c>
      <c r="AK5" s="14">
        <v>18782</v>
      </c>
      <c r="AL5" s="12">
        <v>3258</v>
      </c>
      <c r="AM5" s="14">
        <v>117163</v>
      </c>
      <c r="AN5" s="12">
        <v>19</v>
      </c>
      <c r="AO5" s="14">
        <v>2317</v>
      </c>
      <c r="AP5" s="12">
        <v>2936</v>
      </c>
      <c r="AQ5" s="14">
        <v>11902</v>
      </c>
      <c r="AR5" s="12">
        <v>5198</v>
      </c>
      <c r="AS5" s="14">
        <v>806</v>
      </c>
      <c r="AT5" s="12">
        <v>94</v>
      </c>
      <c r="AU5" s="14">
        <v>189</v>
      </c>
      <c r="AV5" s="12">
        <v>3715</v>
      </c>
      <c r="AW5" s="14">
        <v>543</v>
      </c>
      <c r="AX5" s="12">
        <v>24</v>
      </c>
      <c r="AY5" s="14">
        <v>0</v>
      </c>
      <c r="AZ5" s="12">
        <v>32869</v>
      </c>
      <c r="BA5" s="14">
        <v>40733</v>
      </c>
      <c r="BB5" s="12">
        <v>52992</v>
      </c>
      <c r="BC5" s="14">
        <v>6849</v>
      </c>
      <c r="BD5" s="12">
        <v>2178</v>
      </c>
      <c r="BE5" s="14">
        <v>74</v>
      </c>
      <c r="BF5" s="12">
        <v>42</v>
      </c>
      <c r="BG5" s="14">
        <v>1257</v>
      </c>
      <c r="BH5" s="12">
        <v>7933</v>
      </c>
      <c r="BI5" s="14">
        <v>9</v>
      </c>
      <c r="BJ5" s="12">
        <v>149</v>
      </c>
      <c r="BK5" s="14">
        <v>108928</v>
      </c>
      <c r="BL5" s="12">
        <v>2458</v>
      </c>
      <c r="BM5" s="14">
        <v>252</v>
      </c>
      <c r="BN5" s="12">
        <v>199</v>
      </c>
      <c r="BO5" s="14">
        <v>7673</v>
      </c>
      <c r="BP5" s="12">
        <v>3655</v>
      </c>
      <c r="BQ5" s="14">
        <v>2651</v>
      </c>
      <c r="BR5" s="12">
        <v>1</v>
      </c>
      <c r="BS5" s="14">
        <v>0</v>
      </c>
      <c r="BT5" s="12">
        <v>11093</v>
      </c>
      <c r="BU5" s="14">
        <v>753</v>
      </c>
      <c r="BV5" s="12">
        <v>1125</v>
      </c>
      <c r="BW5" s="14">
        <v>188</v>
      </c>
      <c r="BX5" s="12">
        <v>2817</v>
      </c>
      <c r="BY5" s="14">
        <v>0</v>
      </c>
      <c r="BZ5" s="12">
        <v>33536</v>
      </c>
      <c r="CA5" s="14">
        <v>523</v>
      </c>
      <c r="CB5" s="12">
        <v>21</v>
      </c>
      <c r="CC5" s="14">
        <v>495499</v>
      </c>
      <c r="CD5" s="12">
        <v>37292</v>
      </c>
      <c r="CE5" s="14">
        <v>22550</v>
      </c>
      <c r="CF5" s="12">
        <v>30983</v>
      </c>
      <c r="CG5" s="14">
        <v>764</v>
      </c>
      <c r="CH5" s="12">
        <v>36378</v>
      </c>
      <c r="CI5" s="14">
        <v>12581</v>
      </c>
      <c r="CJ5" s="12">
        <v>129</v>
      </c>
      <c r="CK5" s="14">
        <v>8174</v>
      </c>
      <c r="CL5" s="12">
        <v>124</v>
      </c>
      <c r="CM5" s="14">
        <v>29659</v>
      </c>
      <c r="CN5" s="12">
        <v>9857</v>
      </c>
      <c r="CO5" s="14">
        <v>3201</v>
      </c>
      <c r="CP5" s="12">
        <v>8884</v>
      </c>
      <c r="CQ5" s="14">
        <v>10790</v>
      </c>
      <c r="CR5" s="12">
        <v>1</v>
      </c>
      <c r="CS5" s="14">
        <v>143</v>
      </c>
      <c r="CT5" s="12">
        <v>2122</v>
      </c>
      <c r="CU5" s="14">
        <v>365</v>
      </c>
      <c r="CV5" s="12">
        <v>449</v>
      </c>
      <c r="CW5" s="14">
        <v>2186</v>
      </c>
      <c r="CX5" s="12">
        <v>4</v>
      </c>
      <c r="CY5" s="14">
        <v>319</v>
      </c>
      <c r="CZ5" s="12">
        <v>1384</v>
      </c>
      <c r="DA5" s="14">
        <v>3339</v>
      </c>
      <c r="DB5" s="12">
        <v>1920</v>
      </c>
      <c r="DC5" s="14">
        <v>179</v>
      </c>
      <c r="DD5" s="12">
        <v>807</v>
      </c>
      <c r="DE5" s="14">
        <v>476</v>
      </c>
      <c r="DF5" s="12">
        <v>27</v>
      </c>
      <c r="DG5" s="14">
        <v>1399</v>
      </c>
      <c r="DH5" s="12">
        <v>2</v>
      </c>
      <c r="DI5" s="14">
        <v>47657</v>
      </c>
      <c r="DJ5" s="12">
        <v>6252</v>
      </c>
      <c r="DK5" s="14">
        <v>8</v>
      </c>
      <c r="DL5" s="12">
        <v>67</v>
      </c>
      <c r="DM5" s="14">
        <v>2039</v>
      </c>
      <c r="DN5" s="12">
        <v>4018</v>
      </c>
      <c r="DO5" s="14">
        <v>1690</v>
      </c>
      <c r="DP5" s="12">
        <v>1734</v>
      </c>
      <c r="DQ5" s="14">
        <v>4950</v>
      </c>
      <c r="DR5" s="12">
        <v>47064</v>
      </c>
      <c r="DS5" s="14">
        <v>21</v>
      </c>
      <c r="DT5" s="12">
        <v>839</v>
      </c>
      <c r="DU5" s="14">
        <v>36</v>
      </c>
      <c r="DV5" s="12">
        <v>22117</v>
      </c>
      <c r="DW5" s="14">
        <v>4183</v>
      </c>
      <c r="DX5" s="12">
        <v>125</v>
      </c>
      <c r="DY5" s="14">
        <v>19637</v>
      </c>
      <c r="DZ5" s="12">
        <v>27421</v>
      </c>
      <c r="EA5" s="14">
        <v>25034</v>
      </c>
      <c r="EB5" s="12">
        <v>51</v>
      </c>
      <c r="EC5" s="14">
        <v>1600</v>
      </c>
      <c r="ED5" s="12">
        <v>98752</v>
      </c>
      <c r="EE5" s="14">
        <v>53649</v>
      </c>
      <c r="EF5" s="12">
        <v>8870</v>
      </c>
      <c r="EG5" s="14">
        <v>13205</v>
      </c>
      <c r="EH5" s="12">
        <v>3104</v>
      </c>
      <c r="EI5" s="14">
        <v>17902</v>
      </c>
      <c r="EJ5" s="12">
        <v>201097</v>
      </c>
      <c r="EK5" s="14">
        <v>899</v>
      </c>
      <c r="EL5" s="12">
        <v>2</v>
      </c>
      <c r="EM5" s="14">
        <v>2</v>
      </c>
      <c r="EN5" s="12">
        <v>13</v>
      </c>
      <c r="EO5" s="14">
        <v>0</v>
      </c>
      <c r="EP5" s="12">
        <v>117</v>
      </c>
      <c r="EQ5" s="14">
        <v>43238</v>
      </c>
      <c r="ER5" s="12">
        <v>3093</v>
      </c>
      <c r="ES5" s="14">
        <v>23598</v>
      </c>
      <c r="ET5" s="12">
        <v>75</v>
      </c>
      <c r="EU5" s="14">
        <v>400</v>
      </c>
      <c r="EV5" s="12">
        <v>5119</v>
      </c>
      <c r="EW5" s="14">
        <v>537</v>
      </c>
      <c r="EX5" s="12">
        <v>238</v>
      </c>
      <c r="EY5" s="14">
        <v>1560</v>
      </c>
      <c r="EZ5" s="12">
        <v>170537</v>
      </c>
      <c r="FA5" s="14">
        <v>896</v>
      </c>
      <c r="FB5" s="12">
        <v>1084</v>
      </c>
      <c r="FC5" s="14">
        <v>93613</v>
      </c>
      <c r="FD5" s="12">
        <v>673</v>
      </c>
      <c r="FE5" s="14">
        <v>4765</v>
      </c>
      <c r="FF5" s="12">
        <v>534</v>
      </c>
      <c r="FG5" s="14">
        <v>73695</v>
      </c>
      <c r="FH5" s="12">
        <v>1599</v>
      </c>
      <c r="FI5" s="14">
        <v>634</v>
      </c>
      <c r="FJ5" s="12">
        <v>15</v>
      </c>
      <c r="FK5" s="14">
        <v>1147</v>
      </c>
      <c r="FL5" s="12">
        <v>305</v>
      </c>
      <c r="FM5" s="14">
        <v>128</v>
      </c>
      <c r="FN5" s="12">
        <v>24</v>
      </c>
      <c r="FO5" s="14">
        <v>249</v>
      </c>
      <c r="FP5" s="12">
        <v>12</v>
      </c>
      <c r="FQ5" s="14">
        <v>248</v>
      </c>
      <c r="FR5" s="12">
        <v>10920</v>
      </c>
      <c r="FS5" s="14">
        <v>2816444</v>
      </c>
      <c r="FT5" s="12">
        <v>140</v>
      </c>
      <c r="FU5" s="14">
        <v>28258</v>
      </c>
      <c r="FV5" s="12">
        <v>6322</v>
      </c>
      <c r="FW5" s="14">
        <v>254427</v>
      </c>
      <c r="FX5" s="12">
        <v>216</v>
      </c>
      <c r="FY5" s="14">
        <v>9414</v>
      </c>
      <c r="FZ5" s="12">
        <v>5883</v>
      </c>
      <c r="GA5" s="14">
        <v>66</v>
      </c>
      <c r="GB5" s="12">
        <v>6791</v>
      </c>
      <c r="GC5" s="14">
        <v>1</v>
      </c>
      <c r="GD5" s="12">
        <v>375</v>
      </c>
      <c r="GE5" s="14">
        <v>1597</v>
      </c>
      <c r="GF5" s="19">
        <v>2126</v>
      </c>
    </row>
    <row r="6" spans="1:188" x14ac:dyDescent="0.35">
      <c r="A6" s="10" t="s">
        <v>192</v>
      </c>
      <c r="B6" s="12" t="s">
        <v>205</v>
      </c>
      <c r="C6" s="14">
        <v>2877470</v>
      </c>
      <c r="D6" s="12">
        <v>43926079</v>
      </c>
      <c r="E6" s="14">
        <v>77278</v>
      </c>
      <c r="F6" s="12">
        <v>32956300</v>
      </c>
      <c r="G6" s="14">
        <v>98010</v>
      </c>
      <c r="H6" s="12">
        <v>45236884</v>
      </c>
      <c r="I6" s="14">
        <v>2963811</v>
      </c>
      <c r="J6" s="12">
        <v>25528864</v>
      </c>
      <c r="K6" s="14">
        <v>9011577</v>
      </c>
      <c r="L6" s="12">
        <v>10148243</v>
      </c>
      <c r="M6" s="14">
        <v>393616</v>
      </c>
      <c r="N6" s="12">
        <v>1706669</v>
      </c>
      <c r="O6" s="14">
        <v>164851401</v>
      </c>
      <c r="P6" s="12">
        <v>287411</v>
      </c>
      <c r="Q6" s="14">
        <v>9449001</v>
      </c>
      <c r="R6" s="12">
        <v>11594739</v>
      </c>
      <c r="S6" s="14">
        <v>398312</v>
      </c>
      <c r="T6" s="12">
        <v>12151976</v>
      </c>
      <c r="U6" s="14">
        <v>772443</v>
      </c>
      <c r="V6" s="12">
        <v>11688459</v>
      </c>
      <c r="W6" s="14">
        <v>3278650</v>
      </c>
      <c r="X6" s="12">
        <v>2356075</v>
      </c>
      <c r="Y6" s="14">
        <v>212710692</v>
      </c>
      <c r="Z6" s="12">
        <v>437893</v>
      </c>
      <c r="AA6" s="14">
        <v>6942854</v>
      </c>
      <c r="AB6" s="12">
        <v>20954852</v>
      </c>
      <c r="AC6" s="14">
        <v>54446389</v>
      </c>
      <c r="AD6" s="12">
        <v>11922216</v>
      </c>
      <c r="AE6" s="14">
        <v>556581</v>
      </c>
      <c r="AF6" s="12">
        <v>16741375</v>
      </c>
      <c r="AG6" s="14">
        <v>26606188</v>
      </c>
      <c r="AH6" s="12">
        <v>37775022</v>
      </c>
      <c r="AI6" s="14">
        <v>4837752</v>
      </c>
      <c r="AJ6" s="16" t="s">
        <v>206</v>
      </c>
      <c r="AK6" s="14">
        <v>19132514</v>
      </c>
      <c r="AL6" s="16">
        <v>1411778724</v>
      </c>
      <c r="AM6" s="14">
        <v>50936262</v>
      </c>
      <c r="AN6" s="12">
        <v>871326</v>
      </c>
      <c r="AO6" s="14">
        <v>5530506</v>
      </c>
      <c r="AP6" s="16">
        <v>96076573</v>
      </c>
      <c r="AQ6" s="14">
        <v>5098730</v>
      </c>
      <c r="AR6" s="16">
        <v>26172000</v>
      </c>
      <c r="AS6" s="14">
        <v>4102577</v>
      </c>
      <c r="AT6" s="12">
        <v>11325899</v>
      </c>
      <c r="AU6" s="14">
        <v>1208238</v>
      </c>
      <c r="AV6" s="12">
        <v>10711019</v>
      </c>
      <c r="AW6" s="14">
        <v>5794279</v>
      </c>
      <c r="AX6" s="12">
        <v>989387</v>
      </c>
      <c r="AY6" s="14">
        <v>72004</v>
      </c>
      <c r="AZ6" s="12">
        <v>10858648</v>
      </c>
      <c r="BA6" s="14">
        <v>17668824</v>
      </c>
      <c r="BB6" s="12">
        <v>102516525</v>
      </c>
      <c r="BC6" s="14">
        <v>6489514</v>
      </c>
      <c r="BD6" s="12">
        <v>1407001</v>
      </c>
      <c r="BE6" s="14">
        <v>3551175</v>
      </c>
      <c r="BF6" s="12">
        <v>1326627</v>
      </c>
      <c r="BG6" s="14">
        <v>1161348</v>
      </c>
      <c r="BH6" s="12">
        <v>115223736</v>
      </c>
      <c r="BI6" s="14">
        <v>897095</v>
      </c>
      <c r="BJ6" s="12">
        <v>5541604</v>
      </c>
      <c r="BK6" s="14">
        <v>65288306</v>
      </c>
      <c r="BL6" s="12">
        <v>2230563</v>
      </c>
      <c r="BM6" s="14">
        <v>2422754</v>
      </c>
      <c r="BN6" s="12">
        <v>3988368</v>
      </c>
      <c r="BO6" s="14">
        <v>83811260</v>
      </c>
      <c r="BP6" s="12">
        <v>31133483</v>
      </c>
      <c r="BQ6" s="14">
        <v>10417673</v>
      </c>
      <c r="BR6" s="12">
        <v>56780</v>
      </c>
      <c r="BS6" s="14">
        <v>112576</v>
      </c>
      <c r="BT6" s="12">
        <v>17946899</v>
      </c>
      <c r="BU6" s="14">
        <v>13164905</v>
      </c>
      <c r="BV6" s="12">
        <v>1972277</v>
      </c>
      <c r="BW6" s="14">
        <v>786936</v>
      </c>
      <c r="BX6" s="12">
        <v>11416103</v>
      </c>
      <c r="BY6" s="17">
        <v>528</v>
      </c>
      <c r="BZ6" s="16">
        <v>10012084</v>
      </c>
      <c r="CA6" s="14">
        <v>9657785</v>
      </c>
      <c r="CB6" s="12">
        <v>341465</v>
      </c>
      <c r="CC6" s="14">
        <v>1381344997</v>
      </c>
      <c r="CD6" s="12">
        <v>273808365</v>
      </c>
      <c r="CE6" s="14">
        <v>84097623</v>
      </c>
      <c r="CF6" s="12">
        <v>40306025</v>
      </c>
      <c r="CG6" s="14">
        <v>4943200</v>
      </c>
      <c r="CH6" s="12">
        <v>9197590</v>
      </c>
      <c r="CI6" s="14">
        <v>60452568</v>
      </c>
      <c r="CJ6" s="12">
        <v>2962478</v>
      </c>
      <c r="CK6" s="14">
        <v>126435859</v>
      </c>
      <c r="CL6" s="12">
        <v>10213138</v>
      </c>
      <c r="CM6" s="14">
        <v>18798667</v>
      </c>
      <c r="CN6" s="12">
        <v>53881160</v>
      </c>
      <c r="CO6" s="18">
        <v>1790152</v>
      </c>
      <c r="CP6" s="12">
        <v>4276658</v>
      </c>
      <c r="CQ6" s="14">
        <v>6534479</v>
      </c>
      <c r="CR6" s="12">
        <v>7285750</v>
      </c>
      <c r="CS6" s="14">
        <v>1883936</v>
      </c>
      <c r="CT6" s="12">
        <v>6822220</v>
      </c>
      <c r="CU6" s="14">
        <v>2143943</v>
      </c>
      <c r="CV6" s="12">
        <v>5068618</v>
      </c>
      <c r="CW6" s="14">
        <v>6880353</v>
      </c>
      <c r="CX6" s="12">
        <v>38139</v>
      </c>
      <c r="CY6" s="14">
        <v>2718121</v>
      </c>
      <c r="CZ6" s="12">
        <v>626952</v>
      </c>
      <c r="DA6" s="14">
        <v>27755708</v>
      </c>
      <c r="DB6" s="12">
        <v>19174839</v>
      </c>
      <c r="DC6" s="14">
        <v>32406372</v>
      </c>
      <c r="DD6" s="12">
        <v>541448</v>
      </c>
      <c r="DE6" s="14">
        <v>20302901</v>
      </c>
      <c r="DF6" s="12">
        <v>441663</v>
      </c>
      <c r="DG6" s="14">
        <v>4660728</v>
      </c>
      <c r="DH6" s="12">
        <v>1271985</v>
      </c>
      <c r="DI6" s="14">
        <v>129066160</v>
      </c>
      <c r="DJ6" s="12">
        <v>4032983</v>
      </c>
      <c r="DK6" s="14">
        <v>39270</v>
      </c>
      <c r="DL6" s="12">
        <v>3283344</v>
      </c>
      <c r="DM6" s="14">
        <v>628074</v>
      </c>
      <c r="DN6" s="12">
        <v>36953359</v>
      </c>
      <c r="DO6" s="14">
        <v>31333962</v>
      </c>
      <c r="DP6" s="12">
        <v>2545264</v>
      </c>
      <c r="DQ6" s="14">
        <v>29186486</v>
      </c>
      <c r="DR6" s="12">
        <v>17138756</v>
      </c>
      <c r="DS6" s="14">
        <v>5002100</v>
      </c>
      <c r="DT6" s="12">
        <v>6632263</v>
      </c>
      <c r="DU6" s="14">
        <v>24281433</v>
      </c>
      <c r="DV6" s="12">
        <v>206606300</v>
      </c>
      <c r="DW6" s="14">
        <v>2083365</v>
      </c>
      <c r="DX6" s="12">
        <v>5425471</v>
      </c>
      <c r="DY6" s="14">
        <v>5118446</v>
      </c>
      <c r="DZ6" s="12">
        <v>221295851</v>
      </c>
      <c r="EA6" s="14">
        <v>5112340</v>
      </c>
      <c r="EB6" s="12">
        <v>8963009</v>
      </c>
      <c r="EC6" s="14">
        <v>7141091</v>
      </c>
      <c r="ED6" s="12">
        <v>33016319</v>
      </c>
      <c r="EE6" s="14">
        <v>109722719</v>
      </c>
      <c r="EF6" s="12">
        <v>37842302</v>
      </c>
      <c r="EG6" s="14">
        <v>10193593</v>
      </c>
      <c r="EH6" s="12">
        <v>2807805</v>
      </c>
      <c r="EI6" s="14">
        <v>19224023</v>
      </c>
      <c r="EJ6" s="12">
        <v>145940924</v>
      </c>
      <c r="EK6" s="14">
        <v>12981546</v>
      </c>
      <c r="EL6" s="12">
        <v>53237</v>
      </c>
      <c r="EM6" s="14">
        <v>183712</v>
      </c>
      <c r="EN6" s="16">
        <v>104000</v>
      </c>
      <c r="EO6" s="14">
        <v>33938</v>
      </c>
      <c r="EP6" s="12">
        <v>219544</v>
      </c>
      <c r="EQ6" s="14">
        <v>34865919</v>
      </c>
      <c r="ER6" s="12">
        <v>16783877</v>
      </c>
      <c r="ES6" s="14">
        <v>8733665</v>
      </c>
      <c r="ET6" s="12">
        <v>98408</v>
      </c>
      <c r="EU6" s="14">
        <v>7992169</v>
      </c>
      <c r="EV6" s="12">
        <v>5854932</v>
      </c>
      <c r="EW6" s="14">
        <v>5459915</v>
      </c>
      <c r="EX6" s="12">
        <v>2078968</v>
      </c>
      <c r="EY6" s="14">
        <v>15933012</v>
      </c>
      <c r="EZ6" s="12">
        <v>59381566</v>
      </c>
      <c r="FA6" s="14">
        <v>51273732</v>
      </c>
      <c r="FB6" s="12">
        <v>11206572</v>
      </c>
      <c r="FC6" s="14">
        <v>46756648</v>
      </c>
      <c r="FD6" s="12">
        <v>21422362</v>
      </c>
      <c r="FE6" s="14">
        <v>43943536</v>
      </c>
      <c r="FF6" s="12">
        <v>587154</v>
      </c>
      <c r="FG6" s="14">
        <v>10105596</v>
      </c>
      <c r="FH6" s="12">
        <v>8660952</v>
      </c>
      <c r="FI6" s="14">
        <v>17539600</v>
      </c>
      <c r="FJ6" s="12">
        <v>23821199</v>
      </c>
      <c r="FK6" s="14">
        <v>9557468</v>
      </c>
      <c r="FL6" s="12">
        <v>59886383</v>
      </c>
      <c r="FM6" s="14">
        <v>69817894</v>
      </c>
      <c r="FN6" s="12">
        <v>1320812</v>
      </c>
      <c r="FO6" s="14">
        <v>8296582</v>
      </c>
      <c r="FP6" s="12">
        <v>1399950</v>
      </c>
      <c r="FQ6" s="14">
        <v>11830801</v>
      </c>
      <c r="FR6" s="12">
        <v>84428331</v>
      </c>
      <c r="FS6" s="14">
        <v>331198130</v>
      </c>
      <c r="FT6" s="12">
        <v>45867852</v>
      </c>
      <c r="FU6" s="14">
        <v>43705858</v>
      </c>
      <c r="FV6" s="12">
        <v>9902079</v>
      </c>
      <c r="FW6" s="14">
        <v>67922029</v>
      </c>
      <c r="FX6" s="12">
        <v>3474956</v>
      </c>
      <c r="FY6" s="14">
        <v>33516027</v>
      </c>
      <c r="FZ6" s="12">
        <v>28427499</v>
      </c>
      <c r="GA6" s="14">
        <v>97425470</v>
      </c>
      <c r="GB6" s="16">
        <v>4800000</v>
      </c>
      <c r="GC6" s="14">
        <v>598682</v>
      </c>
      <c r="GD6" s="12">
        <v>29886897</v>
      </c>
      <c r="GE6" s="14">
        <v>18430129</v>
      </c>
      <c r="GF6" s="19">
        <v>14883803</v>
      </c>
    </row>
    <row r="7" spans="1:188" x14ac:dyDescent="0.35">
      <c r="A7" s="5" t="s">
        <v>193</v>
      </c>
      <c r="B7" s="6" t="s">
        <v>195</v>
      </c>
      <c r="C7" s="7" t="s">
        <v>196</v>
      </c>
      <c r="D7" s="6" t="s">
        <v>197</v>
      </c>
      <c r="E7" s="7" t="s">
        <v>196</v>
      </c>
      <c r="F7" s="6" t="s">
        <v>197</v>
      </c>
      <c r="G7" s="7" t="s">
        <v>198</v>
      </c>
      <c r="H7" s="6" t="s">
        <v>199</v>
      </c>
      <c r="I7" s="7" t="s">
        <v>195</v>
      </c>
      <c r="J7" s="6" t="s">
        <v>200</v>
      </c>
      <c r="K7" s="7" t="s">
        <v>196</v>
      </c>
      <c r="L7" s="6" t="s">
        <v>195</v>
      </c>
      <c r="M7" s="7" t="s">
        <v>198</v>
      </c>
      <c r="N7" s="6" t="s">
        <v>195</v>
      </c>
      <c r="O7" s="7" t="s">
        <v>195</v>
      </c>
      <c r="P7" s="6" t="s">
        <v>198</v>
      </c>
      <c r="Q7" s="7" t="s">
        <v>196</v>
      </c>
      <c r="R7" s="6" t="s">
        <v>196</v>
      </c>
      <c r="S7" s="7" t="s">
        <v>198</v>
      </c>
      <c r="T7" s="6" t="s">
        <v>197</v>
      </c>
      <c r="U7" s="7" t="s">
        <v>195</v>
      </c>
      <c r="V7" s="6" t="s">
        <v>199</v>
      </c>
      <c r="W7" s="7" t="s">
        <v>196</v>
      </c>
      <c r="X7" s="6" t="s">
        <v>197</v>
      </c>
      <c r="Y7" s="7" t="s">
        <v>199</v>
      </c>
      <c r="Z7" s="6" t="s">
        <v>195</v>
      </c>
      <c r="AA7" s="7" t="s">
        <v>196</v>
      </c>
      <c r="AB7" s="6" t="s">
        <v>197</v>
      </c>
      <c r="AC7" s="7" t="s">
        <v>195</v>
      </c>
      <c r="AD7" s="6" t="s">
        <v>197</v>
      </c>
      <c r="AE7" s="7" t="s">
        <v>197</v>
      </c>
      <c r="AF7" s="6" t="s">
        <v>195</v>
      </c>
      <c r="AG7" s="7" t="s">
        <v>197</v>
      </c>
      <c r="AH7" s="6" t="s">
        <v>198</v>
      </c>
      <c r="AI7" s="7" t="s">
        <v>197</v>
      </c>
      <c r="AJ7" s="6" t="s">
        <v>197</v>
      </c>
      <c r="AK7" s="7" t="s">
        <v>199</v>
      </c>
      <c r="AL7" s="6" t="s">
        <v>197</v>
      </c>
      <c r="AM7" s="7" t="s">
        <v>199</v>
      </c>
      <c r="AN7" s="6" t="s">
        <v>197</v>
      </c>
      <c r="AO7" s="7" t="s">
        <v>197</v>
      </c>
      <c r="AP7" s="6" t="s">
        <v>197</v>
      </c>
      <c r="AQ7" s="7" t="s">
        <v>198</v>
      </c>
      <c r="AR7" s="6" t="s">
        <v>197</v>
      </c>
      <c r="AS7" s="7" t="s">
        <v>196</v>
      </c>
      <c r="AT7" s="6" t="s">
        <v>198</v>
      </c>
      <c r="AU7" s="7" t="s">
        <v>195</v>
      </c>
      <c r="AV7" s="6" t="s">
        <v>196</v>
      </c>
      <c r="AW7" s="7" t="s">
        <v>196</v>
      </c>
      <c r="AX7" s="6" t="s">
        <v>197</v>
      </c>
      <c r="AY7" s="7" t="s">
        <v>198</v>
      </c>
      <c r="AZ7" s="6" t="s">
        <v>198</v>
      </c>
      <c r="BA7" s="7" t="s">
        <v>199</v>
      </c>
      <c r="BB7" s="6" t="s">
        <v>197</v>
      </c>
      <c r="BC7" s="7" t="s">
        <v>198</v>
      </c>
      <c r="BD7" s="6" t="s">
        <v>197</v>
      </c>
      <c r="BE7" s="7" t="s">
        <v>197</v>
      </c>
      <c r="BF7" s="6" t="s">
        <v>196</v>
      </c>
      <c r="BG7" s="7" t="s">
        <v>197</v>
      </c>
      <c r="BH7" s="6" t="s">
        <v>197</v>
      </c>
      <c r="BI7" s="7" t="s">
        <v>200</v>
      </c>
      <c r="BJ7" s="6" t="s">
        <v>196</v>
      </c>
      <c r="BK7" s="7" t="s">
        <v>196</v>
      </c>
      <c r="BL7" s="6" t="s">
        <v>197</v>
      </c>
      <c r="BM7" s="7" t="s">
        <v>197</v>
      </c>
      <c r="BN7" s="6" t="s">
        <v>195</v>
      </c>
      <c r="BO7" s="7" t="s">
        <v>196</v>
      </c>
      <c r="BP7" s="6" t="s">
        <v>197</v>
      </c>
      <c r="BQ7" s="7" t="s">
        <v>196</v>
      </c>
      <c r="BR7" s="6" t="s">
        <v>198</v>
      </c>
      <c r="BS7" s="7" t="s">
        <v>198</v>
      </c>
      <c r="BT7" s="6" t="s">
        <v>198</v>
      </c>
      <c r="BU7" s="7" t="s">
        <v>197</v>
      </c>
      <c r="BV7" s="6" t="s">
        <v>197</v>
      </c>
      <c r="BW7" s="7" t="s">
        <v>199</v>
      </c>
      <c r="BX7" s="6" t="s">
        <v>198</v>
      </c>
      <c r="BY7" s="7" t="s">
        <v>196</v>
      </c>
      <c r="BZ7" s="6" t="s">
        <v>198</v>
      </c>
      <c r="CA7" s="7" t="s">
        <v>196</v>
      </c>
      <c r="CB7" s="6" t="s">
        <v>196</v>
      </c>
      <c r="CC7" s="7" t="s">
        <v>195</v>
      </c>
      <c r="CD7" s="6" t="s">
        <v>195</v>
      </c>
      <c r="CE7" s="7" t="s">
        <v>195</v>
      </c>
      <c r="CF7" s="6" t="s">
        <v>195</v>
      </c>
      <c r="CG7" s="7" t="s">
        <v>196</v>
      </c>
      <c r="CH7" s="6" t="s">
        <v>195</v>
      </c>
      <c r="CI7" s="7" t="s">
        <v>196</v>
      </c>
      <c r="CJ7" s="6" t="s">
        <v>198</v>
      </c>
      <c r="CK7" s="7" t="s">
        <v>195</v>
      </c>
      <c r="CL7" s="6" t="s">
        <v>195</v>
      </c>
      <c r="CM7" s="7" t="s">
        <v>195</v>
      </c>
      <c r="CN7" s="6" t="s">
        <v>197</v>
      </c>
      <c r="CO7" s="7" t="s">
        <v>196</v>
      </c>
      <c r="CP7" s="6" t="s">
        <v>195</v>
      </c>
      <c r="CQ7" s="7" t="s">
        <v>195</v>
      </c>
      <c r="CR7" s="6" t="s">
        <v>195</v>
      </c>
      <c r="CS7" s="7" t="s">
        <v>196</v>
      </c>
      <c r="CT7" s="6" t="s">
        <v>195</v>
      </c>
      <c r="CU7" s="7" t="s">
        <v>197</v>
      </c>
      <c r="CV7" s="6" t="s">
        <v>197</v>
      </c>
      <c r="CW7" s="7" t="s">
        <v>197</v>
      </c>
      <c r="CX7" s="6" t="s">
        <v>196</v>
      </c>
      <c r="CY7" s="7" t="s">
        <v>196</v>
      </c>
      <c r="CZ7" s="6" t="s">
        <v>196</v>
      </c>
      <c r="DA7" s="7" t="s">
        <v>197</v>
      </c>
      <c r="DB7" s="6" t="s">
        <v>197</v>
      </c>
      <c r="DC7" s="7" t="s">
        <v>195</v>
      </c>
      <c r="DD7" s="6" t="s">
        <v>195</v>
      </c>
      <c r="DE7" s="7" t="s">
        <v>197</v>
      </c>
      <c r="DF7" s="6" t="s">
        <v>196</v>
      </c>
      <c r="DG7" s="7" t="s">
        <v>197</v>
      </c>
      <c r="DH7" s="6" t="s">
        <v>197</v>
      </c>
      <c r="DI7" s="7" t="s">
        <v>198</v>
      </c>
      <c r="DJ7" s="6" t="s">
        <v>196</v>
      </c>
      <c r="DK7" s="7" t="s">
        <v>196</v>
      </c>
      <c r="DL7" s="6" t="s">
        <v>195</v>
      </c>
      <c r="DM7" s="7" t="s">
        <v>196</v>
      </c>
      <c r="DN7" s="6" t="s">
        <v>197</v>
      </c>
      <c r="DO7" s="7" t="s">
        <v>197</v>
      </c>
      <c r="DP7" s="6" t="s">
        <v>197</v>
      </c>
      <c r="DQ7" s="7" t="s">
        <v>195</v>
      </c>
      <c r="DR7" s="6" t="s">
        <v>196</v>
      </c>
      <c r="DS7" s="7" t="s">
        <v>200</v>
      </c>
      <c r="DT7" s="6" t="s">
        <v>198</v>
      </c>
      <c r="DU7" s="7" t="s">
        <v>197</v>
      </c>
      <c r="DV7" s="6" t="s">
        <v>197</v>
      </c>
      <c r="DW7" s="7" t="s">
        <v>196</v>
      </c>
      <c r="DX7" s="6" t="s">
        <v>196</v>
      </c>
      <c r="DY7" s="7" t="s">
        <v>195</v>
      </c>
      <c r="DZ7" s="6" t="s">
        <v>195</v>
      </c>
      <c r="EA7" s="7" t="s">
        <v>195</v>
      </c>
      <c r="EB7" s="6" t="s">
        <v>200</v>
      </c>
      <c r="EC7" s="7" t="s">
        <v>199</v>
      </c>
      <c r="ED7" s="6" t="s">
        <v>199</v>
      </c>
      <c r="EE7" s="7" t="s">
        <v>195</v>
      </c>
      <c r="EF7" s="6" t="s">
        <v>196</v>
      </c>
      <c r="EG7" s="7" t="s">
        <v>196</v>
      </c>
      <c r="EH7" s="6" t="s">
        <v>195</v>
      </c>
      <c r="EI7" s="7" t="s">
        <v>196</v>
      </c>
      <c r="EJ7" s="6" t="s">
        <v>196</v>
      </c>
      <c r="EK7" s="7" t="s">
        <v>197</v>
      </c>
      <c r="EL7" s="6" t="s">
        <v>198</v>
      </c>
      <c r="EM7" s="7" t="s">
        <v>198</v>
      </c>
      <c r="EN7" s="6" t="s">
        <v>198</v>
      </c>
      <c r="EO7" s="7" t="s">
        <v>196</v>
      </c>
      <c r="EP7" s="6" t="s">
        <v>197</v>
      </c>
      <c r="EQ7" s="7" t="s">
        <v>195</v>
      </c>
      <c r="ER7" s="6" t="s">
        <v>197</v>
      </c>
      <c r="ES7" s="7" t="s">
        <v>196</v>
      </c>
      <c r="ET7" s="6" t="s">
        <v>197</v>
      </c>
      <c r="EU7" s="7" t="s">
        <v>197</v>
      </c>
      <c r="EV7" s="6" t="s">
        <v>195</v>
      </c>
      <c r="EW7" s="7" t="s">
        <v>196</v>
      </c>
      <c r="EX7" s="6" t="s">
        <v>196</v>
      </c>
      <c r="EY7" s="7" t="s">
        <v>197</v>
      </c>
      <c r="EZ7" s="6" t="s">
        <v>197</v>
      </c>
      <c r="FA7" s="7" t="s">
        <v>195</v>
      </c>
      <c r="FB7" s="6" t="s">
        <v>197</v>
      </c>
      <c r="FC7" s="7" t="s">
        <v>196</v>
      </c>
      <c r="FD7" s="6" t="s">
        <v>195</v>
      </c>
      <c r="FE7" s="7" t="s">
        <v>197</v>
      </c>
      <c r="FF7" s="6" t="s">
        <v>199</v>
      </c>
      <c r="FG7" s="7" t="s">
        <v>196</v>
      </c>
      <c r="FH7" s="6" t="s">
        <v>196</v>
      </c>
      <c r="FI7" s="7" t="s">
        <v>195</v>
      </c>
      <c r="FJ7" s="6" t="s">
        <v>195</v>
      </c>
      <c r="FK7" s="7" t="s">
        <v>195</v>
      </c>
      <c r="FL7" s="6" t="s">
        <v>197</v>
      </c>
      <c r="FM7" s="7" t="s">
        <v>195</v>
      </c>
      <c r="FN7" s="6" t="s">
        <v>195</v>
      </c>
      <c r="FO7" s="7" t="s">
        <v>197</v>
      </c>
      <c r="FP7" s="6" t="s">
        <v>198</v>
      </c>
      <c r="FQ7" s="7" t="s">
        <v>197</v>
      </c>
      <c r="FR7" s="6" t="s">
        <v>195</v>
      </c>
      <c r="FS7" s="7" t="s">
        <v>198</v>
      </c>
      <c r="FT7" s="6" t="s">
        <v>197</v>
      </c>
      <c r="FU7" s="7" t="s">
        <v>196</v>
      </c>
      <c r="FV7" s="6" t="s">
        <v>195</v>
      </c>
      <c r="FW7" s="7" t="s">
        <v>196</v>
      </c>
      <c r="FX7" s="6" t="s">
        <v>199</v>
      </c>
      <c r="FY7" s="7" t="s">
        <v>195</v>
      </c>
      <c r="FZ7" s="6" t="s">
        <v>199</v>
      </c>
      <c r="GA7" s="7" t="s">
        <v>195</v>
      </c>
      <c r="GB7" s="6" t="s">
        <v>195</v>
      </c>
      <c r="GC7" s="7" t="s">
        <v>197</v>
      </c>
      <c r="GD7" s="6" t="s">
        <v>195</v>
      </c>
      <c r="GE7" s="7" t="s">
        <v>197</v>
      </c>
      <c r="GF7" s="8" t="s">
        <v>197</v>
      </c>
    </row>
    <row r="8" spans="1:188" x14ac:dyDescent="0.35">
      <c r="A8" s="11" t="s">
        <v>194</v>
      </c>
      <c r="B8" s="13">
        <v>43885</v>
      </c>
      <c r="C8" s="15">
        <v>43899</v>
      </c>
      <c r="D8" s="13">
        <v>43886</v>
      </c>
      <c r="E8" s="15">
        <v>43892</v>
      </c>
      <c r="F8" s="13">
        <v>43911</v>
      </c>
      <c r="G8" s="15">
        <v>43903</v>
      </c>
      <c r="H8" s="13">
        <v>43893</v>
      </c>
      <c r="I8" s="15">
        <v>43891</v>
      </c>
      <c r="J8" s="13">
        <v>43855</v>
      </c>
      <c r="K8" s="15">
        <v>43886</v>
      </c>
      <c r="L8" s="13">
        <v>43889</v>
      </c>
      <c r="M8" s="15">
        <v>43905</v>
      </c>
      <c r="N8" s="13">
        <v>43882</v>
      </c>
      <c r="O8" s="15">
        <v>43898</v>
      </c>
      <c r="P8" s="13">
        <v>43907</v>
      </c>
      <c r="Q8" s="15">
        <v>43889</v>
      </c>
      <c r="R8" s="13">
        <v>43865</v>
      </c>
      <c r="S8" s="15">
        <v>43913</v>
      </c>
      <c r="T8" s="13">
        <v>43906</v>
      </c>
      <c r="U8" s="15">
        <v>43896</v>
      </c>
      <c r="V8" s="13">
        <v>43900</v>
      </c>
      <c r="W8" s="15">
        <v>43895</v>
      </c>
      <c r="X8" s="13">
        <v>43920</v>
      </c>
      <c r="Y8" s="15">
        <v>43887</v>
      </c>
      <c r="Z8" s="13">
        <v>43899</v>
      </c>
      <c r="AA8" s="15">
        <v>43898</v>
      </c>
      <c r="AB8" s="13">
        <v>43899</v>
      </c>
      <c r="AC8" s="15">
        <v>43913</v>
      </c>
      <c r="AD8" s="13">
        <v>43921</v>
      </c>
      <c r="AE8" s="15">
        <v>43910</v>
      </c>
      <c r="AF8" s="13">
        <v>43857</v>
      </c>
      <c r="AG8" s="15">
        <v>43896</v>
      </c>
      <c r="AH8" s="13">
        <v>43855</v>
      </c>
      <c r="AI8" s="15">
        <v>43904</v>
      </c>
      <c r="AJ8" s="13">
        <v>43909</v>
      </c>
      <c r="AK8" s="15">
        <v>43893</v>
      </c>
      <c r="AL8" s="13">
        <v>43786</v>
      </c>
      <c r="AM8" s="15">
        <v>43896</v>
      </c>
      <c r="AN8" s="13">
        <v>43951</v>
      </c>
      <c r="AO8" s="15">
        <v>43904</v>
      </c>
      <c r="AP8" s="13">
        <v>43900</v>
      </c>
      <c r="AQ8" s="15">
        <v>43896</v>
      </c>
      <c r="AR8" s="13">
        <v>43901</v>
      </c>
      <c r="AS8" s="15">
        <v>43886</v>
      </c>
      <c r="AT8" s="13">
        <v>43901</v>
      </c>
      <c r="AU8" s="15">
        <v>43899</v>
      </c>
      <c r="AV8" s="13">
        <v>43891</v>
      </c>
      <c r="AW8" s="15">
        <v>43888</v>
      </c>
      <c r="AX8" s="13">
        <v>43908</v>
      </c>
      <c r="AY8" s="15">
        <v>43912</v>
      </c>
      <c r="AZ8" s="13">
        <v>43891</v>
      </c>
      <c r="BA8" s="15">
        <v>43890</v>
      </c>
      <c r="BB8" s="13">
        <v>43875</v>
      </c>
      <c r="BC8" s="15">
        <v>43909</v>
      </c>
      <c r="BD8" s="13">
        <v>43904</v>
      </c>
      <c r="BE8" s="15">
        <v>43911</v>
      </c>
      <c r="BF8" s="13">
        <v>43888</v>
      </c>
      <c r="BG8" s="15">
        <v>43904</v>
      </c>
      <c r="BH8" s="13">
        <v>43903</v>
      </c>
      <c r="BI8" s="15">
        <v>43909</v>
      </c>
      <c r="BJ8" s="13">
        <v>43887</v>
      </c>
      <c r="BK8" s="15">
        <v>43826</v>
      </c>
      <c r="BL8" s="13">
        <v>43902</v>
      </c>
      <c r="BM8" s="15">
        <v>43907</v>
      </c>
      <c r="BN8" s="13">
        <v>43887</v>
      </c>
      <c r="BO8" s="15">
        <v>43857</v>
      </c>
      <c r="BP8" s="13">
        <v>43902</v>
      </c>
      <c r="BQ8" s="15">
        <v>43887</v>
      </c>
      <c r="BR8" s="13">
        <v>43898</v>
      </c>
      <c r="BS8" s="15">
        <v>43912</v>
      </c>
      <c r="BT8" s="13">
        <v>43903</v>
      </c>
      <c r="BU8" s="15">
        <v>43903</v>
      </c>
      <c r="BV8" s="13">
        <v>43915</v>
      </c>
      <c r="BW8" s="15">
        <v>43902</v>
      </c>
      <c r="BX8" s="13">
        <v>43909</v>
      </c>
      <c r="BY8" s="15">
        <v>43912</v>
      </c>
      <c r="BZ8" s="13">
        <v>43907</v>
      </c>
      <c r="CA8" s="15">
        <v>43894</v>
      </c>
      <c r="CB8" s="13">
        <v>43889</v>
      </c>
      <c r="CC8" s="15">
        <v>43860</v>
      </c>
      <c r="CD8" s="13">
        <v>43892</v>
      </c>
      <c r="CE8" s="15">
        <v>43880</v>
      </c>
      <c r="CF8" s="13">
        <v>43883</v>
      </c>
      <c r="CG8" s="15">
        <v>43890</v>
      </c>
      <c r="CH8" s="13">
        <v>43882</v>
      </c>
      <c r="CI8" s="15">
        <v>43861</v>
      </c>
      <c r="CJ8" s="13">
        <v>43900</v>
      </c>
      <c r="CK8" s="15">
        <v>43846</v>
      </c>
      <c r="CL8" s="13">
        <v>43892</v>
      </c>
      <c r="CM8" s="15">
        <v>43903</v>
      </c>
      <c r="CN8" s="13">
        <v>43903</v>
      </c>
      <c r="CO8" s="15">
        <v>43903</v>
      </c>
      <c r="CP8" s="13">
        <v>43885</v>
      </c>
      <c r="CQ8" s="15">
        <v>43908</v>
      </c>
      <c r="CR8" s="13">
        <v>43914</v>
      </c>
      <c r="CS8" s="15">
        <v>43892</v>
      </c>
      <c r="CT8" s="13">
        <v>43882</v>
      </c>
      <c r="CU8" s="15">
        <v>43964</v>
      </c>
      <c r="CV8" s="13">
        <v>43906</v>
      </c>
      <c r="CW8" s="15">
        <v>43914</v>
      </c>
      <c r="CX8" s="13">
        <v>43893</v>
      </c>
      <c r="CY8" s="15">
        <v>43889</v>
      </c>
      <c r="CZ8" s="13">
        <v>43890</v>
      </c>
      <c r="DA8" s="15">
        <v>43910</v>
      </c>
      <c r="DB8" s="13">
        <v>43922</v>
      </c>
      <c r="DC8" s="15">
        <v>43855</v>
      </c>
      <c r="DD8" s="13">
        <v>43897</v>
      </c>
      <c r="DE8" s="15">
        <v>43915</v>
      </c>
      <c r="DF8" s="13">
        <v>43897</v>
      </c>
      <c r="DG8" s="15">
        <v>43903</v>
      </c>
      <c r="DH8" s="13">
        <v>43908</v>
      </c>
      <c r="DI8" s="15">
        <v>43889</v>
      </c>
      <c r="DJ8" s="13">
        <v>43897</v>
      </c>
      <c r="DK8" s="15">
        <v>43890</v>
      </c>
      <c r="DL8" s="13">
        <v>43900</v>
      </c>
      <c r="DM8" s="15">
        <v>43907</v>
      </c>
      <c r="DN8" s="13">
        <v>43892</v>
      </c>
      <c r="DO8" s="15">
        <v>43912</v>
      </c>
      <c r="DP8" s="13">
        <v>43904</v>
      </c>
      <c r="DQ8" s="15">
        <v>43843</v>
      </c>
      <c r="DR8" s="13">
        <v>43888</v>
      </c>
      <c r="DS8" s="15">
        <v>43889</v>
      </c>
      <c r="DT8" s="13">
        <v>43908</v>
      </c>
      <c r="DU8" s="15">
        <v>43909</v>
      </c>
      <c r="DV8" s="13">
        <v>43888</v>
      </c>
      <c r="DW8" s="15">
        <v>43887</v>
      </c>
      <c r="DX8" s="13">
        <v>43887</v>
      </c>
      <c r="DY8" s="15">
        <v>43885</v>
      </c>
      <c r="DZ8" s="13">
        <v>43887</v>
      </c>
      <c r="EA8" s="15">
        <v>43899</v>
      </c>
      <c r="EB8" s="13">
        <v>43910</v>
      </c>
      <c r="EC8" s="15">
        <v>43897</v>
      </c>
      <c r="ED8" s="13">
        <v>43896</v>
      </c>
      <c r="EE8" s="15">
        <v>43860</v>
      </c>
      <c r="EF8" s="13">
        <v>43894</v>
      </c>
      <c r="EG8" s="15">
        <v>43892</v>
      </c>
      <c r="EH8" s="13">
        <v>43888</v>
      </c>
      <c r="EI8" s="15">
        <v>43887</v>
      </c>
      <c r="EJ8" s="13">
        <v>43861</v>
      </c>
      <c r="EK8" s="15">
        <v>43904</v>
      </c>
      <c r="EL8" s="13">
        <v>43914</v>
      </c>
      <c r="EM8" s="15">
        <v>43903</v>
      </c>
      <c r="EN8" s="13">
        <v>43901</v>
      </c>
      <c r="EO8" s="15">
        <v>43888</v>
      </c>
      <c r="EP8" s="13">
        <v>43927</v>
      </c>
      <c r="EQ8" s="15">
        <v>43892</v>
      </c>
      <c r="ER8" s="13">
        <v>43892</v>
      </c>
      <c r="ES8" s="15">
        <v>43896</v>
      </c>
      <c r="ET8" s="13">
        <v>43904</v>
      </c>
      <c r="EU8" s="15">
        <v>43921</v>
      </c>
      <c r="EV8" s="13">
        <v>43853</v>
      </c>
      <c r="EW8" s="15">
        <v>43896</v>
      </c>
      <c r="EX8" s="13">
        <v>43894</v>
      </c>
      <c r="EY8" s="15">
        <v>43906</v>
      </c>
      <c r="EZ8" s="13">
        <v>43895</v>
      </c>
      <c r="FA8" s="15">
        <v>43850</v>
      </c>
      <c r="FB8" s="13">
        <v>43926</v>
      </c>
      <c r="FC8" s="15">
        <v>43861</v>
      </c>
      <c r="FD8" s="13">
        <v>43857</v>
      </c>
      <c r="FE8" s="15">
        <v>43903</v>
      </c>
      <c r="FF8" s="13">
        <v>43903</v>
      </c>
      <c r="FG8" s="15">
        <v>43861</v>
      </c>
      <c r="FH8" s="13">
        <v>43886</v>
      </c>
      <c r="FI8" s="15">
        <v>43912</v>
      </c>
      <c r="FJ8" s="13">
        <v>43851</v>
      </c>
      <c r="FK8" s="15">
        <v>43951</v>
      </c>
      <c r="FL8" s="13">
        <v>43906</v>
      </c>
      <c r="FM8" s="15">
        <v>43843</v>
      </c>
      <c r="FN8" s="13">
        <v>43911</v>
      </c>
      <c r="FO8" s="15">
        <v>43896</v>
      </c>
      <c r="FP8" s="13">
        <v>43902</v>
      </c>
      <c r="FQ8" s="15">
        <v>43892</v>
      </c>
      <c r="FR8" s="13">
        <v>43901</v>
      </c>
      <c r="FS8" s="15">
        <v>43851</v>
      </c>
      <c r="FT8" s="13">
        <v>43912</v>
      </c>
      <c r="FU8" s="15">
        <v>43893</v>
      </c>
      <c r="FV8" s="13">
        <v>43859</v>
      </c>
      <c r="FW8" s="15">
        <v>43861</v>
      </c>
      <c r="FX8" s="13">
        <v>43903</v>
      </c>
      <c r="FY8" s="15">
        <v>43905</v>
      </c>
      <c r="FZ8" s="13">
        <v>43903</v>
      </c>
      <c r="GA8" s="15">
        <v>43853</v>
      </c>
      <c r="GB8" s="13">
        <v>43895</v>
      </c>
      <c r="GC8" s="15">
        <v>43925</v>
      </c>
      <c r="GD8" s="13">
        <v>43931</v>
      </c>
      <c r="GE8" s="15">
        <v>43908</v>
      </c>
      <c r="GF8" s="20">
        <v>43911</v>
      </c>
    </row>
    <row r="9" spans="1:188" x14ac:dyDescent="0.35">
      <c r="A9" s="23" t="s">
        <v>207</v>
      </c>
      <c r="B9">
        <f t="shared" ref="B9:AG9" si="0">(B3/B2)*100</f>
        <v>3.499434685492099</v>
      </c>
      <c r="C9">
        <f t="shared" si="0"/>
        <v>2.9508196721311477</v>
      </c>
      <c r="D9">
        <f t="shared" si="0"/>
        <v>4.1575805240767885</v>
      </c>
      <c r="E9">
        <f t="shared" si="0"/>
        <v>5.7331863285556786</v>
      </c>
      <c r="F9">
        <f t="shared" si="0"/>
        <v>4.3157894736842106</v>
      </c>
      <c r="G9">
        <f t="shared" si="0"/>
        <v>3.4883720930232558</v>
      </c>
      <c r="H9">
        <f t="shared" si="0"/>
        <v>1.827184976346347</v>
      </c>
      <c r="I9">
        <f t="shared" si="0"/>
        <v>1.9015779620219311</v>
      </c>
      <c r="J9">
        <f t="shared" si="0"/>
        <v>1.0912892896817616</v>
      </c>
      <c r="K9">
        <f t="shared" si="0"/>
        <v>3.4682362097480302</v>
      </c>
      <c r="L9">
        <f t="shared" si="0"/>
        <v>1.389345069959929</v>
      </c>
      <c r="M9">
        <f t="shared" si="0"/>
        <v>2.8795811518324608</v>
      </c>
      <c r="N9">
        <f t="shared" si="0"/>
        <v>0.35712476571602247</v>
      </c>
      <c r="O9">
        <f t="shared" si="0"/>
        <v>1.310642059896121</v>
      </c>
      <c r="P9">
        <f t="shared" si="0"/>
        <v>6.3636363636363633</v>
      </c>
      <c r="Q9">
        <f t="shared" si="0"/>
        <v>0.79998810426610767</v>
      </c>
      <c r="R9">
        <f t="shared" si="0"/>
        <v>14.785933642439936</v>
      </c>
      <c r="S9">
        <f t="shared" si="0"/>
        <v>4.1666666666666661</v>
      </c>
      <c r="T9">
        <f t="shared" si="0"/>
        <v>1.977401129943503</v>
      </c>
      <c r="U9">
        <f t="shared" si="0"/>
        <v>0</v>
      </c>
      <c r="V9">
        <f t="shared" si="0"/>
        <v>3.718688975990784</v>
      </c>
      <c r="W9">
        <f t="shared" si="0"/>
        <v>2.8005334349399886</v>
      </c>
      <c r="X9">
        <f t="shared" si="0"/>
        <v>0.2706359945872801</v>
      </c>
      <c r="Y9">
        <f t="shared" si="0"/>
        <v>3.5874097957930293</v>
      </c>
      <c r="Z9">
        <f t="shared" si="0"/>
        <v>2.1276595744680851</v>
      </c>
      <c r="AA9">
        <f t="shared" si="0"/>
        <v>3.2671123246398639</v>
      </c>
      <c r="AB9">
        <f t="shared" si="0"/>
        <v>4.8181818181818183</v>
      </c>
      <c r="AC9">
        <f t="shared" si="0"/>
        <v>1.7142857142857144</v>
      </c>
      <c r="AD9">
        <f t="shared" si="0"/>
        <v>0.26455026455026454</v>
      </c>
      <c r="AE9">
        <f t="shared" si="0"/>
        <v>0.94501718213058417</v>
      </c>
      <c r="AF9">
        <f t="shared" si="0"/>
        <v>0</v>
      </c>
      <c r="AG9">
        <f t="shared" si="0"/>
        <v>2.2852133255406195</v>
      </c>
      <c r="AH9">
        <f t="shared" ref="AH9:BM9" si="1">(AH3/AH2)*100</f>
        <v>7.6800219821738303</v>
      </c>
      <c r="AI9">
        <f t="shared" si="1"/>
        <v>1.2828875842574472</v>
      </c>
      <c r="AJ9">
        <f t="shared" si="1"/>
        <v>8.1344902386117131</v>
      </c>
      <c r="AK9">
        <f t="shared" si="1"/>
        <v>2.6405267832250239</v>
      </c>
      <c r="AL9">
        <f t="shared" si="1"/>
        <v>5.3651060691610111</v>
      </c>
      <c r="AM9">
        <f t="shared" si="1"/>
        <v>3.4138334740043796</v>
      </c>
      <c r="AN9">
        <f t="shared" si="1"/>
        <v>1.977401129943503</v>
      </c>
      <c r="AO9">
        <f t="shared" si="1"/>
        <v>1.6875</v>
      </c>
      <c r="AP9">
        <f t="shared" si="1"/>
        <v>2.3518769787426503</v>
      </c>
      <c r="AQ9">
        <f t="shared" si="1"/>
        <v>0.72596426993245378</v>
      </c>
      <c r="AR9">
        <f t="shared" si="1"/>
        <v>0.61322261258383903</v>
      </c>
      <c r="AS9">
        <f t="shared" si="1"/>
        <v>2.8477770948576113</v>
      </c>
      <c r="AT9">
        <f t="shared" si="1"/>
        <v>3.4360189573459716</v>
      </c>
      <c r="AU9">
        <f t="shared" si="1"/>
        <v>1.7924528301886793</v>
      </c>
      <c r="AV9">
        <f t="shared" si="1"/>
        <v>2.4039700953854086</v>
      </c>
      <c r="AW9">
        <f t="shared" si="1"/>
        <v>4.4546181236828719</v>
      </c>
      <c r="AX9">
        <f t="shared" si="1"/>
        <v>1.1464716347104171</v>
      </c>
      <c r="AY9">
        <f t="shared" si="1"/>
        <v>0</v>
      </c>
      <c r="AZ9">
        <f t="shared" si="1"/>
        <v>1.688072822495168</v>
      </c>
      <c r="BA9">
        <f t="shared" si="1"/>
        <v>6.8160816155542685</v>
      </c>
      <c r="BB9">
        <f t="shared" si="1"/>
        <v>5.0301680326982545</v>
      </c>
      <c r="BC9">
        <f t="shared" si="1"/>
        <v>2.7136681077485867</v>
      </c>
      <c r="BD9">
        <f t="shared" si="1"/>
        <v>1.6606968414197329</v>
      </c>
      <c r="BE9">
        <f t="shared" si="1"/>
        <v>0</v>
      </c>
      <c r="BF9">
        <f t="shared" si="1"/>
        <v>3.3923303834808261</v>
      </c>
      <c r="BG9">
        <f t="shared" si="1"/>
        <v>1.468048359240069</v>
      </c>
      <c r="BH9">
        <f t="shared" si="1"/>
        <v>1.5673334708187256</v>
      </c>
      <c r="BI9">
        <f t="shared" si="1"/>
        <v>0</v>
      </c>
      <c r="BJ9">
        <f t="shared" si="1"/>
        <v>4.4471478778048121</v>
      </c>
      <c r="BK9">
        <f t="shared" si="1"/>
        <v>13.71079000871333</v>
      </c>
      <c r="BL9">
        <f t="shared" si="1"/>
        <v>0.6815968841285297</v>
      </c>
      <c r="BM9">
        <f t="shared" si="1"/>
        <v>2.4539877300613497</v>
      </c>
      <c r="BN9">
        <f t="shared" ref="BN9:CS9" si="2">(BN3/BN2)*100</f>
        <v>1.4072119613016711</v>
      </c>
      <c r="BO9">
        <f t="shared" si="2"/>
        <v>4.4058287303487962</v>
      </c>
      <c r="BP9">
        <f t="shared" si="2"/>
        <v>0.49964311206281231</v>
      </c>
      <c r="BQ9">
        <f t="shared" si="2"/>
        <v>4.7788029335225923</v>
      </c>
      <c r="BR9">
        <f t="shared" si="2"/>
        <v>0</v>
      </c>
      <c r="BS9">
        <f t="shared" si="2"/>
        <v>0</v>
      </c>
      <c r="BT9">
        <f t="shared" si="2"/>
        <v>3.8866450374097861</v>
      </c>
      <c r="BU9">
        <f t="shared" si="2"/>
        <v>0.6378454996456413</v>
      </c>
      <c r="BV9">
        <f t="shared" si="2"/>
        <v>1.3306038894575232</v>
      </c>
      <c r="BW9">
        <f t="shared" si="2"/>
        <v>5.1413881748071981</v>
      </c>
      <c r="BX9">
        <f t="shared" si="2"/>
        <v>2.1525885558583107</v>
      </c>
      <c r="BY9">
        <f t="shared" si="2"/>
        <v>0</v>
      </c>
      <c r="BZ9">
        <f t="shared" si="2"/>
        <v>2.9339976346845829</v>
      </c>
      <c r="CA9">
        <f t="shared" si="2"/>
        <v>13.399280575539569</v>
      </c>
      <c r="CB9">
        <f t="shared" si="2"/>
        <v>0.53937432578209277</v>
      </c>
      <c r="CC9">
        <f t="shared" si="2"/>
        <v>2.2571859631247917</v>
      </c>
      <c r="CD9">
        <f t="shared" si="2"/>
        <v>4.8233851430166599</v>
      </c>
      <c r="CE9">
        <f t="shared" si="2"/>
        <v>5.4195077757266539</v>
      </c>
      <c r="CF9">
        <f t="shared" si="2"/>
        <v>3.9596749122884933</v>
      </c>
      <c r="CG9">
        <f t="shared" si="2"/>
        <v>6.8129151861578858</v>
      </c>
      <c r="CH9">
        <f t="shared" si="2"/>
        <v>0.74079862467765878</v>
      </c>
      <c r="CI9">
        <f t="shared" si="2"/>
        <v>14.256595990027854</v>
      </c>
      <c r="CJ9">
        <f t="shared" si="2"/>
        <v>1.1723329425556859</v>
      </c>
      <c r="CK9">
        <f t="shared" si="2"/>
        <v>3.2046753580373775</v>
      </c>
      <c r="CL9">
        <f t="shared" si="2"/>
        <v>0.93537414965986398</v>
      </c>
      <c r="CM9">
        <f t="shared" si="2"/>
        <v>0.69109724978735465</v>
      </c>
      <c r="CN9">
        <f t="shared" si="2"/>
        <v>1.5855354659248957</v>
      </c>
      <c r="CO9">
        <f t="shared" si="2"/>
        <v>2.4956158100634021</v>
      </c>
      <c r="CP9">
        <f t="shared" si="2"/>
        <v>0.68034607558365301</v>
      </c>
      <c r="CQ9">
        <f t="shared" si="2"/>
        <v>3.9073762614127823</v>
      </c>
      <c r="CR9">
        <f t="shared" si="2"/>
        <v>0</v>
      </c>
      <c r="CS9">
        <f t="shared" si="2"/>
        <v>2.5430680885972108</v>
      </c>
      <c r="CT9">
        <f t="shared" ref="CT9:DY9" si="3">(CT3/CT2)*100</f>
        <v>1.313755795981453</v>
      </c>
      <c r="CU9">
        <f t="shared" si="3"/>
        <v>2.3762376237623761</v>
      </c>
      <c r="CV9">
        <f t="shared" si="3"/>
        <v>6.1696658097686372</v>
      </c>
      <c r="CW9">
        <f t="shared" si="3"/>
        <v>2.2638839759462326</v>
      </c>
      <c r="CX9">
        <f t="shared" si="3"/>
        <v>1.1627906976744187</v>
      </c>
      <c r="CY9">
        <f t="shared" si="3"/>
        <v>3.96235760277365</v>
      </c>
      <c r="CZ9">
        <f t="shared" si="3"/>
        <v>1.7718715393133997</v>
      </c>
      <c r="DA9">
        <f t="shared" si="3"/>
        <v>0.9391124871001032</v>
      </c>
      <c r="DB9">
        <f t="shared" si="3"/>
        <v>2.7019650655021836</v>
      </c>
      <c r="DC9">
        <f t="shared" si="3"/>
        <v>1.3926325247079965</v>
      </c>
      <c r="DD9">
        <f t="shared" si="3"/>
        <v>0.44523597506678536</v>
      </c>
      <c r="DE9">
        <f t="shared" si="3"/>
        <v>4.9343414245921213</v>
      </c>
      <c r="DF9">
        <f t="shared" si="3"/>
        <v>1.2838801711840229</v>
      </c>
      <c r="DG9">
        <f t="shared" si="3"/>
        <v>2.5128865979381443</v>
      </c>
      <c r="DH9">
        <f t="shared" si="3"/>
        <v>2.9069767441860463</v>
      </c>
      <c r="DI9">
        <f t="shared" si="3"/>
        <v>11.131030193001576</v>
      </c>
      <c r="DJ9">
        <f t="shared" si="3"/>
        <v>3.2305433186490458</v>
      </c>
      <c r="DK9">
        <f t="shared" si="3"/>
        <v>3.4482758620689653</v>
      </c>
      <c r="DL9">
        <f t="shared" si="3"/>
        <v>0</v>
      </c>
      <c r="DM9">
        <f t="shared" si="3"/>
        <v>1.5554787417905289</v>
      </c>
      <c r="DN9">
        <f t="shared" si="3"/>
        <v>1.5129027624838416</v>
      </c>
      <c r="DO9">
        <f t="shared" si="3"/>
        <v>0.64667842445620227</v>
      </c>
      <c r="DP9">
        <f t="shared" si="3"/>
        <v>0.43407487791644062</v>
      </c>
      <c r="DQ9">
        <f t="shared" si="3"/>
        <v>0.25597269624573377</v>
      </c>
      <c r="DR9">
        <f t="shared" si="3"/>
        <v>11.532772920450078</v>
      </c>
      <c r="DS9">
        <f t="shared" si="3"/>
        <v>1.4129736673089275</v>
      </c>
      <c r="DT9">
        <f t="shared" si="3"/>
        <v>3.1404478045943587</v>
      </c>
      <c r="DU9">
        <f t="shared" si="3"/>
        <v>6.0954063604240289</v>
      </c>
      <c r="DV9">
        <f t="shared" si="3"/>
        <v>2.0883924235065567</v>
      </c>
      <c r="DW9">
        <f t="shared" si="3"/>
        <v>4.562812102222658</v>
      </c>
      <c r="DX9">
        <f t="shared" si="3"/>
        <v>2.7923784494086727</v>
      </c>
      <c r="DY9">
        <f t="shared" si="3"/>
        <v>0.51000545043992829</v>
      </c>
      <c r="DZ9">
        <f t="shared" ref="DZ9:FE9" si="4">(DZ3/DZ2)*100</f>
        <v>2.1298703192618005</v>
      </c>
      <c r="EA9">
        <f t="shared" si="4"/>
        <v>2.1516226685329256</v>
      </c>
      <c r="EB9">
        <f t="shared" si="4"/>
        <v>0</v>
      </c>
      <c r="EC9">
        <f t="shared" si="4"/>
        <v>0.94547053649956025</v>
      </c>
      <c r="ED9">
        <f t="shared" si="4"/>
        <v>4.7259934773181564</v>
      </c>
      <c r="EE9">
        <f t="shared" si="4"/>
        <v>2.3707947342759628</v>
      </c>
      <c r="EF9">
        <f t="shared" si="4"/>
        <v>3.8615731993917333</v>
      </c>
      <c r="EG9">
        <f t="shared" si="4"/>
        <v>3.417562973418955</v>
      </c>
      <c r="EH9">
        <f t="shared" si="4"/>
        <v>0.15055156619250529</v>
      </c>
      <c r="EI9">
        <f t="shared" si="4"/>
        <v>4.8058908108579148</v>
      </c>
      <c r="EJ9">
        <f t="shared" si="4"/>
        <v>1.6327080374197971</v>
      </c>
      <c r="EK9">
        <f t="shared" si="4"/>
        <v>0.26609898882384247</v>
      </c>
      <c r="EL9">
        <f t="shared" si="4"/>
        <v>0</v>
      </c>
      <c r="EM9">
        <f t="shared" si="4"/>
        <v>0</v>
      </c>
      <c r="EN9">
        <f t="shared" si="4"/>
        <v>0</v>
      </c>
      <c r="EO9">
        <f t="shared" si="4"/>
        <v>6.0085836909871242</v>
      </c>
      <c r="EP9">
        <f t="shared" si="4"/>
        <v>1.6184971098265895</v>
      </c>
      <c r="EQ9">
        <f t="shared" si="4"/>
        <v>1.0262741044271086</v>
      </c>
      <c r="ER9">
        <f t="shared" si="4"/>
        <v>1.9868906185989348</v>
      </c>
      <c r="ES9">
        <f t="shared" si="4"/>
        <v>2.2492854479930409</v>
      </c>
      <c r="ET9">
        <f t="shared" si="4"/>
        <v>0</v>
      </c>
      <c r="EU9">
        <f t="shared" si="4"/>
        <v>3.7016264722378009</v>
      </c>
      <c r="EV9">
        <f t="shared" si="4"/>
        <v>5.3109878437389353E-2</v>
      </c>
      <c r="EW9">
        <f t="shared" si="4"/>
        <v>1.2838147638697845</v>
      </c>
      <c r="EX9">
        <f t="shared" si="4"/>
        <v>5.5582175371346434</v>
      </c>
      <c r="EY9">
        <f t="shared" si="4"/>
        <v>2.9098873591989989</v>
      </c>
      <c r="EZ9">
        <f t="shared" si="4"/>
        <v>1.5616678710093719</v>
      </c>
      <c r="FA9">
        <f t="shared" si="4"/>
        <v>2.1122298106033934</v>
      </c>
      <c r="FB9">
        <f t="shared" si="4"/>
        <v>1.9956616052060738</v>
      </c>
      <c r="FC9">
        <f t="shared" si="4"/>
        <v>10.436787178668311</v>
      </c>
      <c r="FD9">
        <f t="shared" si="4"/>
        <v>0.39215686274509803</v>
      </c>
      <c r="FE9">
        <f t="shared" si="4"/>
        <v>6.3025210084033612</v>
      </c>
      <c r="FF9">
        <f t="shared" ref="FF9:GF9" si="5">(FF3/FF2)*100</f>
        <v>1.6183412002697235</v>
      </c>
      <c r="FG9">
        <f t="shared" si="5"/>
        <v>7.1792934063857921</v>
      </c>
      <c r="FH9">
        <f t="shared" si="5"/>
        <v>5.7371581054036023</v>
      </c>
      <c r="FI9">
        <f t="shared" si="5"/>
        <v>5.9347181008902083</v>
      </c>
      <c r="FJ9">
        <f t="shared" si="5"/>
        <v>1.5151515151515151</v>
      </c>
      <c r="FK9">
        <f t="shared" si="5"/>
        <v>0.82930200414651001</v>
      </c>
      <c r="FL9">
        <f t="shared" si="5"/>
        <v>4.1257367387033401</v>
      </c>
      <c r="FM9">
        <f t="shared" si="5"/>
        <v>1.7591750075826509</v>
      </c>
      <c r="FN9">
        <f t="shared" si="5"/>
        <v>0</v>
      </c>
      <c r="FO9">
        <f t="shared" si="5"/>
        <v>2.0594965675057209</v>
      </c>
      <c r="FP9">
        <f t="shared" si="5"/>
        <v>5.4054054054054053</v>
      </c>
      <c r="FQ9">
        <f t="shared" si="5"/>
        <v>3.4364261168384882</v>
      </c>
      <c r="FR9">
        <f t="shared" si="5"/>
        <v>2.4799686369863316</v>
      </c>
      <c r="FS9">
        <f t="shared" si="5"/>
        <v>3.4499315775574386</v>
      </c>
      <c r="FT9">
        <f t="shared" si="5"/>
        <v>0.1773049645390071</v>
      </c>
      <c r="FU9">
        <f t="shared" si="5"/>
        <v>2.4382973649695958</v>
      </c>
      <c r="FV9">
        <f t="shared" si="5"/>
        <v>0.5829967723946804</v>
      </c>
      <c r="FW9">
        <f t="shared" si="5"/>
        <v>15.194824134593713</v>
      </c>
      <c r="FX9">
        <f t="shared" si="5"/>
        <v>2.9118136439267883</v>
      </c>
      <c r="FY9">
        <f t="shared" si="5"/>
        <v>0.5705125182705455</v>
      </c>
      <c r="FZ9">
        <f t="shared" si="5"/>
        <v>0.91318488866649983</v>
      </c>
      <c r="GA9">
        <f t="shared" si="5"/>
        <v>0</v>
      </c>
      <c r="GB9">
        <f t="shared" si="5"/>
        <v>0.73439412484700128</v>
      </c>
      <c r="GC9">
        <f t="shared" si="5"/>
        <v>10</v>
      </c>
      <c r="GD9">
        <f t="shared" si="5"/>
        <v>28.562980484920164</v>
      </c>
      <c r="GE9">
        <f t="shared" si="5"/>
        <v>3.0755711775043935</v>
      </c>
      <c r="GF9">
        <f t="shared" si="5"/>
        <v>1.3313609467455623</v>
      </c>
    </row>
    <row r="10" spans="1:188" x14ac:dyDescent="0.35">
      <c r="A10" s="23" t="s">
        <v>208</v>
      </c>
      <c r="B10">
        <f t="shared" ref="B10:AG10" si="6">(B4/B2)*100</f>
        <v>69.486804732096076</v>
      </c>
      <c r="C10">
        <f t="shared" si="6"/>
        <v>56.25</v>
      </c>
      <c r="D10">
        <f t="shared" si="6"/>
        <v>67.339934937260921</v>
      </c>
      <c r="E10">
        <f t="shared" si="6"/>
        <v>88.53362734288865</v>
      </c>
      <c r="F10">
        <f t="shared" si="6"/>
        <v>25.473684210526315</v>
      </c>
      <c r="G10">
        <f t="shared" si="6"/>
        <v>75.581395348837205</v>
      </c>
      <c r="H10">
        <f t="shared" si="6"/>
        <v>43.350097959573759</v>
      </c>
      <c r="I10">
        <f t="shared" si="6"/>
        <v>71.315859855576363</v>
      </c>
      <c r="J10">
        <f t="shared" si="6"/>
        <v>60.844278899562177</v>
      </c>
      <c r="K10">
        <f t="shared" si="6"/>
        <v>88.753769821967126</v>
      </c>
      <c r="L10">
        <f t="shared" si="6"/>
        <v>76.338435262431844</v>
      </c>
      <c r="M10">
        <f t="shared" si="6"/>
        <v>23.821989528795811</v>
      </c>
      <c r="N10">
        <f t="shared" si="6"/>
        <v>91.459399219897676</v>
      </c>
      <c r="O10">
        <f t="shared" si="6"/>
        <v>55.556636092385901</v>
      </c>
      <c r="P10">
        <f t="shared" si="6"/>
        <v>85.454545454545453</v>
      </c>
      <c r="Q10">
        <f t="shared" si="6"/>
        <v>89.949591827630812</v>
      </c>
      <c r="R10">
        <f t="shared" si="6"/>
        <v>26.272053953152287</v>
      </c>
      <c r="S10">
        <f t="shared" si="6"/>
        <v>54.166666666666664</v>
      </c>
      <c r="T10">
        <f t="shared" si="6"/>
        <v>58.531073446327689</v>
      </c>
      <c r="U10">
        <f t="shared" si="6"/>
        <v>86.868686868686879</v>
      </c>
      <c r="V10">
        <f t="shared" si="6"/>
        <v>30.173782329554232</v>
      </c>
      <c r="W10">
        <f t="shared" si="6"/>
        <v>46.961325966850829</v>
      </c>
      <c r="X10">
        <f t="shared" si="6"/>
        <v>8.5250338294993231</v>
      </c>
      <c r="Y10">
        <f t="shared" si="6"/>
        <v>75.608413941348076</v>
      </c>
      <c r="Z10">
        <f t="shared" si="6"/>
        <v>97.872340425531917</v>
      </c>
      <c r="AA10">
        <f t="shared" si="6"/>
        <v>52.584502400903865</v>
      </c>
      <c r="AB10">
        <f t="shared" si="6"/>
        <v>84.181818181818187</v>
      </c>
      <c r="AC10">
        <f t="shared" si="6"/>
        <v>83.428571428571431</v>
      </c>
      <c r="AD10">
        <f t="shared" si="6"/>
        <v>79.629629629629633</v>
      </c>
      <c r="AE10">
        <f t="shared" si="6"/>
        <v>66.580756013745699</v>
      </c>
      <c r="AF10">
        <f t="shared" si="6"/>
        <v>65.044247787610615</v>
      </c>
      <c r="AG10">
        <f t="shared" si="6"/>
        <v>84.973699590882518</v>
      </c>
      <c r="AH10">
        <f t="shared" ref="AH10:BM10" si="7">(AH4/AH2)*100</f>
        <v>0</v>
      </c>
      <c r="AI10">
        <f t="shared" si="7"/>
        <v>33.616003479017174</v>
      </c>
      <c r="AJ10">
        <f t="shared" si="7"/>
        <v>87.85249457700651</v>
      </c>
      <c r="AK10">
        <f t="shared" si="7"/>
        <v>91.961152323933746</v>
      </c>
      <c r="AL10">
        <f t="shared" si="7"/>
        <v>90.880702441722462</v>
      </c>
      <c r="AM10">
        <f t="shared" si="7"/>
        <v>51.015359722443712</v>
      </c>
      <c r="AN10">
        <f t="shared" si="7"/>
        <v>92.655367231638422</v>
      </c>
      <c r="AO10">
        <f t="shared" si="7"/>
        <v>25.906249999999996</v>
      </c>
      <c r="AP10">
        <f t="shared" si="7"/>
        <v>64.450474898236081</v>
      </c>
      <c r="AQ10">
        <f t="shared" si="7"/>
        <v>24.139890158449592</v>
      </c>
      <c r="AR10">
        <f t="shared" si="7"/>
        <v>66.183328010220379</v>
      </c>
      <c r="AS10">
        <f t="shared" si="7"/>
        <v>80.639213275968032</v>
      </c>
      <c r="AT10">
        <f t="shared" si="7"/>
        <v>92.851500789889414</v>
      </c>
      <c r="AU10">
        <f t="shared" si="7"/>
        <v>80.377358490566039</v>
      </c>
      <c r="AV10">
        <f t="shared" si="7"/>
        <v>73.653003351379226</v>
      </c>
      <c r="AW10">
        <f t="shared" si="7"/>
        <v>91.599447714555623</v>
      </c>
      <c r="AX10">
        <f t="shared" si="7"/>
        <v>98.379126309547331</v>
      </c>
      <c r="AY10">
        <f t="shared" si="7"/>
        <v>100</v>
      </c>
      <c r="AZ10">
        <f t="shared" si="7"/>
        <v>47.078994949809839</v>
      </c>
      <c r="BA10">
        <f t="shared" si="7"/>
        <v>42.996020256034299</v>
      </c>
      <c r="BB10">
        <f t="shared" si="7"/>
        <v>37.670033087519734</v>
      </c>
      <c r="BC10">
        <f t="shared" si="7"/>
        <v>51.732623877618892</v>
      </c>
      <c r="BD10">
        <f t="shared" si="7"/>
        <v>27.417779225008143</v>
      </c>
      <c r="BE10">
        <f t="shared" si="7"/>
        <v>72.075471698113205</v>
      </c>
      <c r="BF10">
        <f t="shared" si="7"/>
        <v>94.542772861356923</v>
      </c>
      <c r="BG10">
        <f t="shared" si="7"/>
        <v>44.2573402417962</v>
      </c>
      <c r="BH10">
        <f t="shared" si="7"/>
        <v>43.899085722142026</v>
      </c>
      <c r="BI10">
        <f t="shared" si="7"/>
        <v>66.666666666666657</v>
      </c>
      <c r="BJ10">
        <f t="shared" si="7"/>
        <v>93.538794268721276</v>
      </c>
      <c r="BK10">
        <f t="shared" si="7"/>
        <v>36.855576532094105</v>
      </c>
      <c r="BL10">
        <f t="shared" si="7"/>
        <v>65.127277785505626</v>
      </c>
      <c r="BM10">
        <f t="shared" si="7"/>
        <v>20.245398773006134</v>
      </c>
      <c r="BN10">
        <f t="shared" ref="BN10:CS10" si="8">(BN4/BN2)*100</f>
        <v>81.090589270008792</v>
      </c>
      <c r="BO10">
        <f t="shared" si="8"/>
        <v>91.889412491791873</v>
      </c>
      <c r="BP10">
        <f t="shared" si="8"/>
        <v>88.630145134427778</v>
      </c>
      <c r="BQ10">
        <f t="shared" si="8"/>
        <v>32.505322924059612</v>
      </c>
      <c r="BR10">
        <f t="shared" si="8"/>
        <v>92.857142857142861</v>
      </c>
      <c r="BS10">
        <f t="shared" si="8"/>
        <v>100</v>
      </c>
      <c r="BT10">
        <f t="shared" si="8"/>
        <v>71.630360414045782</v>
      </c>
      <c r="BU10">
        <f t="shared" si="8"/>
        <v>88.6888731396173</v>
      </c>
      <c r="BV10">
        <f t="shared" si="8"/>
        <v>41.095189355168884</v>
      </c>
      <c r="BW10">
        <f t="shared" si="8"/>
        <v>46.529562982005139</v>
      </c>
      <c r="BX10">
        <f t="shared" si="8"/>
        <v>59.468664850136243</v>
      </c>
      <c r="BY10">
        <f t="shared" si="8"/>
        <v>100</v>
      </c>
      <c r="BZ10">
        <f t="shared" si="8"/>
        <v>12.679600412672052</v>
      </c>
      <c r="CA10">
        <f t="shared" si="8"/>
        <v>74.842625899280577</v>
      </c>
      <c r="CB10">
        <f t="shared" si="8"/>
        <v>98.327939590075502</v>
      </c>
      <c r="CC10">
        <f t="shared" si="8"/>
        <v>64.264803154979518</v>
      </c>
      <c r="CD10">
        <f t="shared" si="8"/>
        <v>57.997268277120327</v>
      </c>
      <c r="CE10">
        <f t="shared" si="8"/>
        <v>86.900131468702952</v>
      </c>
      <c r="CF10">
        <f t="shared" si="8"/>
        <v>68.520673269085577</v>
      </c>
      <c r="CG10">
        <f t="shared" si="8"/>
        <v>90.236366445234054</v>
      </c>
      <c r="CH10">
        <f t="shared" si="8"/>
        <v>42.405251230757209</v>
      </c>
      <c r="CI10">
        <f t="shared" si="8"/>
        <v>80.635115272488079</v>
      </c>
      <c r="CJ10">
        <f t="shared" si="8"/>
        <v>83.704572098475978</v>
      </c>
      <c r="CK10">
        <f t="shared" si="8"/>
        <v>70.547813242566306</v>
      </c>
      <c r="CL10">
        <f t="shared" si="8"/>
        <v>88.520408163265301</v>
      </c>
      <c r="CM10">
        <f t="shared" si="8"/>
        <v>64.270862867403835</v>
      </c>
      <c r="CN10">
        <f t="shared" si="8"/>
        <v>43.577190542420027</v>
      </c>
      <c r="CO10">
        <f t="shared" si="8"/>
        <v>54.323485768244971</v>
      </c>
      <c r="CP10">
        <f t="shared" si="8"/>
        <v>85.520123021482163</v>
      </c>
      <c r="CQ10">
        <f t="shared" si="8"/>
        <v>63.686328688130715</v>
      </c>
      <c r="CR10">
        <f t="shared" si="8"/>
        <v>95</v>
      </c>
      <c r="CS10">
        <f t="shared" si="8"/>
        <v>85.726004922067261</v>
      </c>
      <c r="CT10">
        <f t="shared" ref="CT10:DY10" si="9">(CT4/CT2)*100</f>
        <v>44.023699124162803</v>
      </c>
      <c r="CU10">
        <f t="shared" si="9"/>
        <v>25.346534653465348</v>
      </c>
      <c r="CV10">
        <f t="shared" si="9"/>
        <v>55.355612682090829</v>
      </c>
      <c r="CW10">
        <f t="shared" si="9"/>
        <v>20.410328970640254</v>
      </c>
      <c r="CX10">
        <f t="shared" si="9"/>
        <v>94.186046511627907</v>
      </c>
      <c r="CY10">
        <f t="shared" si="9"/>
        <v>80.237741456166418</v>
      </c>
      <c r="CZ10">
        <f t="shared" si="9"/>
        <v>76.332858724885298</v>
      </c>
      <c r="DA10">
        <f t="shared" si="9"/>
        <v>64.602683178534576</v>
      </c>
      <c r="DB10">
        <f t="shared" si="9"/>
        <v>44.896288209606986</v>
      </c>
      <c r="DC10">
        <f t="shared" si="9"/>
        <v>96.597035040431265</v>
      </c>
      <c r="DD10">
        <f t="shared" si="9"/>
        <v>75.60106856634016</v>
      </c>
      <c r="DE10">
        <f t="shared" si="9"/>
        <v>76.124154397134902</v>
      </c>
      <c r="DF10">
        <f t="shared" si="9"/>
        <v>94.864479315263907</v>
      </c>
      <c r="DG10">
        <f t="shared" si="9"/>
        <v>74.951675257731949</v>
      </c>
      <c r="DH10">
        <f t="shared" si="9"/>
        <v>96.511627906976756</v>
      </c>
      <c r="DI10">
        <f t="shared" si="9"/>
        <v>76.818824290941095</v>
      </c>
      <c r="DJ10">
        <f t="shared" si="9"/>
        <v>69.767642739915345</v>
      </c>
      <c r="DK10">
        <f t="shared" si="9"/>
        <v>89.65517241379311</v>
      </c>
      <c r="DL10">
        <f t="shared" si="9"/>
        <v>76.816608996539799</v>
      </c>
      <c r="DM10">
        <f t="shared" si="9"/>
        <v>27.964051157967507</v>
      </c>
      <c r="DN10">
        <f t="shared" si="9"/>
        <v>79.250251352515917</v>
      </c>
      <c r="DO10">
        <f t="shared" si="9"/>
        <v>0</v>
      </c>
      <c r="DP10">
        <f t="shared" si="9"/>
        <v>5.480195333695062</v>
      </c>
      <c r="DQ10">
        <f t="shared" si="9"/>
        <v>73.346843003412971</v>
      </c>
      <c r="DR10">
        <f t="shared" si="9"/>
        <v>0.35384644187744557</v>
      </c>
      <c r="DS10">
        <f t="shared" si="9"/>
        <v>97.238278741168912</v>
      </c>
      <c r="DT10">
        <f t="shared" si="9"/>
        <v>72.462925268973549</v>
      </c>
      <c r="DU10">
        <f t="shared" si="9"/>
        <v>90.724381625441694</v>
      </c>
      <c r="DV10">
        <f t="shared" si="9"/>
        <v>44.203496843127731</v>
      </c>
      <c r="DW10">
        <f t="shared" si="9"/>
        <v>54.479584842847352</v>
      </c>
      <c r="DX10">
        <f t="shared" si="9"/>
        <v>95.838808585194926</v>
      </c>
      <c r="DY10">
        <f t="shared" si="9"/>
        <v>74.006592436865731</v>
      </c>
      <c r="DZ10">
        <f t="shared" ref="DZ10:FE10" si="10">(DZ4/DZ2)*100</f>
        <v>87.873009854569446</v>
      </c>
      <c r="EA10">
        <f t="shared" si="10"/>
        <v>57.104260929006209</v>
      </c>
      <c r="EB10">
        <f t="shared" si="10"/>
        <v>17.741935483870968</v>
      </c>
      <c r="EC10">
        <f t="shared" si="10"/>
        <v>63.874230430958669</v>
      </c>
      <c r="ED10">
        <f t="shared" si="10"/>
        <v>69.934593564047759</v>
      </c>
      <c r="EE10">
        <f t="shared" si="10"/>
        <v>32.235494880546071</v>
      </c>
      <c r="EF10">
        <f t="shared" si="10"/>
        <v>75.701580572323863</v>
      </c>
      <c r="EG10">
        <f t="shared" si="10"/>
        <v>70.329430008548883</v>
      </c>
      <c r="EH10">
        <f t="shared" si="10"/>
        <v>97.017254121919393</v>
      </c>
      <c r="EI10">
        <f t="shared" si="10"/>
        <v>56.193629907193589</v>
      </c>
      <c r="EJ10">
        <f t="shared" si="10"/>
        <v>73.74357153352598</v>
      </c>
      <c r="EK10">
        <f t="shared" si="10"/>
        <v>51.889302820649284</v>
      </c>
      <c r="EL10">
        <f t="shared" si="10"/>
        <v>88.235294117647058</v>
      </c>
      <c r="EM10">
        <f t="shared" si="10"/>
        <v>91.666666666666657</v>
      </c>
      <c r="EN10">
        <f t="shared" si="10"/>
        <v>75</v>
      </c>
      <c r="EO10">
        <f t="shared" si="10"/>
        <v>93.991416309012877</v>
      </c>
      <c r="EP10">
        <f t="shared" si="10"/>
        <v>84.855491329479776</v>
      </c>
      <c r="EQ10">
        <f t="shared" si="10"/>
        <v>82.89617526976879</v>
      </c>
      <c r="ER10">
        <f t="shared" si="10"/>
        <v>66.335518230233518</v>
      </c>
      <c r="ES10">
        <f t="shared" si="10"/>
        <v>0</v>
      </c>
      <c r="ET10">
        <f t="shared" si="10"/>
        <v>34.210526315789473</v>
      </c>
      <c r="EU10">
        <f t="shared" si="10"/>
        <v>73.864273696017946</v>
      </c>
      <c r="EV10">
        <f t="shared" si="10"/>
        <v>89.877650576340528</v>
      </c>
      <c r="EW10">
        <f t="shared" si="10"/>
        <v>74.094452086198999</v>
      </c>
      <c r="EX10">
        <f t="shared" si="10"/>
        <v>83.037853378054621</v>
      </c>
      <c r="EY10">
        <f t="shared" si="10"/>
        <v>48.279098873591991</v>
      </c>
      <c r="EZ10">
        <f t="shared" si="10"/>
        <v>60.753012514115113</v>
      </c>
      <c r="FA10">
        <f t="shared" si="10"/>
        <v>91.5792438217278</v>
      </c>
      <c r="FB10">
        <f t="shared" si="10"/>
        <v>50.97613882863341</v>
      </c>
      <c r="FC10">
        <f t="shared" si="10"/>
        <v>55.199856105072662</v>
      </c>
      <c r="FD10">
        <f t="shared" si="10"/>
        <v>75.61497326203208</v>
      </c>
      <c r="FE10">
        <f t="shared" si="10"/>
        <v>51.987044817927178</v>
      </c>
      <c r="FF10">
        <f t="shared" ref="FF10:GF10" si="11">(FF4/FF2)*100</f>
        <v>62.37356709372893</v>
      </c>
      <c r="FG10">
        <f t="shared" si="11"/>
        <v>0</v>
      </c>
      <c r="FH10">
        <f t="shared" si="11"/>
        <v>89.624967369550717</v>
      </c>
      <c r="FI10">
        <f t="shared" si="11"/>
        <v>0</v>
      </c>
      <c r="FJ10">
        <f t="shared" si="11"/>
        <v>95.238095238095227</v>
      </c>
      <c r="FK10">
        <f t="shared" si="11"/>
        <v>83.317208016586036</v>
      </c>
      <c r="FL10">
        <f t="shared" si="11"/>
        <v>35.952848722986246</v>
      </c>
      <c r="FM10">
        <f t="shared" si="11"/>
        <v>94.358507734303913</v>
      </c>
      <c r="FN10">
        <f t="shared" si="11"/>
        <v>0</v>
      </c>
      <c r="FO10">
        <f t="shared" si="11"/>
        <v>69.450800915331811</v>
      </c>
      <c r="FP10">
        <f t="shared" si="11"/>
        <v>86.486486486486484</v>
      </c>
      <c r="FQ10">
        <f t="shared" si="11"/>
        <v>79.518900343642613</v>
      </c>
      <c r="FR10">
        <f t="shared" si="11"/>
        <v>92.709861289143205</v>
      </c>
      <c r="FS10">
        <f t="shared" si="11"/>
        <v>30.902656459668286</v>
      </c>
      <c r="FT10">
        <f t="shared" si="11"/>
        <v>87.411347517730491</v>
      </c>
      <c r="FU10">
        <f t="shared" si="11"/>
        <v>55.445928222248718</v>
      </c>
      <c r="FV10">
        <f t="shared" si="11"/>
        <v>88.733798604187442</v>
      </c>
      <c r="FW10">
        <f t="shared" si="11"/>
        <v>0.47628833176448754</v>
      </c>
      <c r="FX10">
        <f t="shared" si="11"/>
        <v>79.118136439267886</v>
      </c>
      <c r="FY10">
        <f t="shared" si="11"/>
        <v>55.042670564383045</v>
      </c>
      <c r="FZ10">
        <f t="shared" si="11"/>
        <v>62.290467850888163</v>
      </c>
      <c r="GA10">
        <f t="shared" si="11"/>
        <v>84.686774941995353</v>
      </c>
      <c r="GB10">
        <f t="shared" si="11"/>
        <v>35.326240466999344</v>
      </c>
      <c r="GC10">
        <f t="shared" si="11"/>
        <v>80</v>
      </c>
      <c r="GD10">
        <f t="shared" si="11"/>
        <v>49.260792430514485</v>
      </c>
      <c r="GE10">
        <f t="shared" si="11"/>
        <v>61.840949033391915</v>
      </c>
      <c r="GF10">
        <f t="shared" si="11"/>
        <v>20.04437869822485</v>
      </c>
    </row>
    <row r="11" spans="1:188" x14ac:dyDescent="0.35">
      <c r="A11" s="23" t="s">
        <v>209</v>
      </c>
      <c r="B11">
        <f t="shared" ref="B11:AG11" si="12">(B2/B6)*100</f>
        <v>9.2959533622714516E-2</v>
      </c>
      <c r="C11">
        <f t="shared" si="12"/>
        <v>0.16959342755962703</v>
      </c>
      <c r="D11">
        <f t="shared" si="12"/>
        <v>6.3681987185790018E-2</v>
      </c>
      <c r="E11">
        <f t="shared" si="12"/>
        <v>1.1736846191671626</v>
      </c>
      <c r="F11">
        <f t="shared" si="12"/>
        <v>2.8826051468156316E-3</v>
      </c>
      <c r="G11">
        <f t="shared" si="12"/>
        <v>8.7746148352208966E-2</v>
      </c>
      <c r="H11">
        <f t="shared" si="12"/>
        <v>0.37008738267649027</v>
      </c>
      <c r="I11">
        <f t="shared" si="12"/>
        <v>1.261551428211853</v>
      </c>
      <c r="J11">
        <f t="shared" si="12"/>
        <v>5.9943912897965218E-2</v>
      </c>
      <c r="K11">
        <f t="shared" si="12"/>
        <v>0.22812877257776301</v>
      </c>
      <c r="L11">
        <f t="shared" si="12"/>
        <v>0.30001252433549336</v>
      </c>
      <c r="M11">
        <f t="shared" si="12"/>
        <v>9.7048900451201167E-2</v>
      </c>
      <c r="N11">
        <f t="shared" si="12"/>
        <v>2.3133952746548978</v>
      </c>
      <c r="O11">
        <f t="shared" si="12"/>
        <v>0.13722964962851603</v>
      </c>
      <c r="P11">
        <f t="shared" si="12"/>
        <v>3.8272717467320319E-2</v>
      </c>
      <c r="Q11">
        <f t="shared" si="12"/>
        <v>0.71172603326002404</v>
      </c>
      <c r="R11">
        <f t="shared" si="12"/>
        <v>0.57291500912612181</v>
      </c>
      <c r="S11">
        <f t="shared" si="12"/>
        <v>1.2050854606439173E-2</v>
      </c>
      <c r="T11">
        <f t="shared" si="12"/>
        <v>1.4565532387489902E-2</v>
      </c>
      <c r="U11">
        <f t="shared" si="12"/>
        <v>1.2816479662577046E-2</v>
      </c>
      <c r="V11">
        <f t="shared" si="12"/>
        <v>0.60898532475495704</v>
      </c>
      <c r="W11">
        <f t="shared" si="12"/>
        <v>0.32019276226495663</v>
      </c>
      <c r="X11">
        <f t="shared" si="12"/>
        <v>3.1365724775314879E-2</v>
      </c>
      <c r="Y11">
        <f t="shared" si="12"/>
        <v>1.1482144959596108</v>
      </c>
      <c r="Z11">
        <f t="shared" si="12"/>
        <v>3.2199646945715046E-2</v>
      </c>
      <c r="AA11">
        <f t="shared" si="12"/>
        <v>0.15297743550418891</v>
      </c>
      <c r="AB11">
        <f t="shared" si="12"/>
        <v>5.2493809071044737E-3</v>
      </c>
      <c r="AC11">
        <f t="shared" si="12"/>
        <v>6.4283418318155131E-4</v>
      </c>
      <c r="AD11">
        <f t="shared" si="12"/>
        <v>3.1705515149197091E-3</v>
      </c>
      <c r="AE11">
        <f t="shared" si="12"/>
        <v>0.41826796099759067</v>
      </c>
      <c r="AF11">
        <f t="shared" si="12"/>
        <v>1.349948854260776E-3</v>
      </c>
      <c r="AG11">
        <f t="shared" si="12"/>
        <v>6.4308348118114478E-2</v>
      </c>
      <c r="AH11">
        <f t="shared" ref="AH11:BM11" si="13">(AH2/AH6)*100</f>
        <v>0.3082936655867467</v>
      </c>
      <c r="AI11">
        <f t="shared" si="13"/>
        <v>9.5064815228229974E-2</v>
      </c>
      <c r="AJ11" t="e">
        <f t="shared" si="13"/>
        <v>#VALUE!</v>
      </c>
      <c r="AK11">
        <f t="shared" si="13"/>
        <v>1.8184907639424697</v>
      </c>
      <c r="AL11">
        <f t="shared" si="13"/>
        <v>6.1470681293536757E-3</v>
      </c>
      <c r="AM11">
        <f t="shared" si="13"/>
        <v>0.50475042711222118</v>
      </c>
      <c r="AN11">
        <f t="shared" si="13"/>
        <v>4.0627732903643417E-2</v>
      </c>
      <c r="AO11">
        <f t="shared" si="13"/>
        <v>5.7860890124701074E-2</v>
      </c>
      <c r="AP11">
        <f t="shared" si="13"/>
        <v>9.2051576402501362E-3</v>
      </c>
      <c r="AQ11">
        <f t="shared" si="13"/>
        <v>0.31068520984637354</v>
      </c>
      <c r="AR11">
        <f t="shared" si="13"/>
        <v>5.9815833715421061E-2</v>
      </c>
      <c r="AS11">
        <f t="shared" si="13"/>
        <v>0.11897400097548444</v>
      </c>
      <c r="AT11">
        <f t="shared" si="13"/>
        <v>2.2355841244920162E-2</v>
      </c>
      <c r="AU11">
        <f t="shared" si="13"/>
        <v>8.7731059609116743E-2</v>
      </c>
      <c r="AV11">
        <f t="shared" si="13"/>
        <v>0.1448601668991531</v>
      </c>
      <c r="AW11">
        <f t="shared" si="13"/>
        <v>0.23749287875160999</v>
      </c>
      <c r="AX11">
        <f t="shared" si="13"/>
        <v>0.51132671037723354</v>
      </c>
      <c r="AY11">
        <f t="shared" si="13"/>
        <v>2.4998611188267315E-2</v>
      </c>
      <c r="AZ11">
        <f t="shared" si="13"/>
        <v>0.59082861881147641</v>
      </c>
      <c r="BA11">
        <f t="shared" si="13"/>
        <v>0.45934579460410035</v>
      </c>
      <c r="BB11">
        <f t="shared" si="13"/>
        <v>9.0211797561417534E-2</v>
      </c>
      <c r="BC11">
        <f t="shared" si="13"/>
        <v>0.23168144794818227</v>
      </c>
      <c r="BD11">
        <f t="shared" si="13"/>
        <v>0.21826565865980196</v>
      </c>
      <c r="BE11">
        <f t="shared" si="13"/>
        <v>7.4623188099713477E-3</v>
      </c>
      <c r="BF11">
        <f t="shared" si="13"/>
        <v>0.15332116714042457</v>
      </c>
      <c r="BG11">
        <f t="shared" si="13"/>
        <v>0.19942342863637774</v>
      </c>
      <c r="BH11">
        <f t="shared" si="13"/>
        <v>1.2625002890029532E-2</v>
      </c>
      <c r="BI11">
        <f t="shared" si="13"/>
        <v>3.0097146901944608E-3</v>
      </c>
      <c r="BJ11">
        <f t="shared" si="13"/>
        <v>0.1334992540066017</v>
      </c>
      <c r="BK11">
        <f t="shared" si="13"/>
        <v>0.33750607650932157</v>
      </c>
      <c r="BL11">
        <f t="shared" si="13"/>
        <v>0.32229531288737417</v>
      </c>
      <c r="BM11">
        <f t="shared" si="13"/>
        <v>1.345576150116768E-2</v>
      </c>
      <c r="BN11">
        <f t="shared" ref="BN11:CS11" si="14">(BN2/BN6)*100</f>
        <v>2.8507900976038319E-2</v>
      </c>
      <c r="BO11">
        <f t="shared" si="14"/>
        <v>0.24711715347078664</v>
      </c>
      <c r="BP11">
        <f t="shared" si="14"/>
        <v>0.10799948081620037</v>
      </c>
      <c r="BQ11">
        <f t="shared" si="14"/>
        <v>4.0575280103339779E-2</v>
      </c>
      <c r="BR11">
        <f t="shared" si="14"/>
        <v>2.4656569214512151E-2</v>
      </c>
      <c r="BS11">
        <f t="shared" si="14"/>
        <v>2.0430642410460487E-2</v>
      </c>
      <c r="BT11">
        <f t="shared" si="14"/>
        <v>0.2524614419460432</v>
      </c>
      <c r="BU11">
        <f t="shared" si="14"/>
        <v>5.358944861356766E-2</v>
      </c>
      <c r="BV11">
        <f t="shared" si="14"/>
        <v>9.9073304611877536E-2</v>
      </c>
      <c r="BW11">
        <f t="shared" si="14"/>
        <v>4.9432228287942089E-2</v>
      </c>
      <c r="BX11">
        <f t="shared" si="14"/>
        <v>6.4295145199723583E-2</v>
      </c>
      <c r="BY11">
        <f t="shared" si="14"/>
        <v>2.2727272727272729</v>
      </c>
      <c r="BZ11">
        <f t="shared" si="14"/>
        <v>0.39693034936582633</v>
      </c>
      <c r="CA11">
        <f t="shared" si="14"/>
        <v>4.6056109138896753E-2</v>
      </c>
      <c r="CB11">
        <f t="shared" si="14"/>
        <v>0.54295462199639788</v>
      </c>
      <c r="CC11">
        <f t="shared" si="14"/>
        <v>0.10714723716482247</v>
      </c>
      <c r="CD11">
        <f t="shared" si="14"/>
        <v>3.6632555035343788E-2</v>
      </c>
      <c r="CE11">
        <f t="shared" si="14"/>
        <v>0.34912520654715773</v>
      </c>
      <c r="CF11">
        <f t="shared" si="14"/>
        <v>0.27932548545781927</v>
      </c>
      <c r="CG11">
        <f t="shared" si="14"/>
        <v>0.5237902573231914</v>
      </c>
      <c r="CH11">
        <f t="shared" si="14"/>
        <v>0.69567136608611602</v>
      </c>
      <c r="CI11">
        <f t="shared" si="14"/>
        <v>0.40740370202304726</v>
      </c>
      <c r="CJ11">
        <f t="shared" si="14"/>
        <v>2.8793462770018881E-2</v>
      </c>
      <c r="CK11">
        <f t="shared" si="14"/>
        <v>2.4630670639094562E-2</v>
      </c>
      <c r="CL11">
        <f t="shared" si="14"/>
        <v>1.1514580533426652E-2</v>
      </c>
      <c r="CM11">
        <f t="shared" si="14"/>
        <v>0.45028724643082407</v>
      </c>
      <c r="CN11">
        <f t="shared" si="14"/>
        <v>3.336045474893265E-2</v>
      </c>
      <c r="CO11">
        <f t="shared" si="14"/>
        <v>0.41409891450558389</v>
      </c>
      <c r="CP11">
        <f t="shared" si="14"/>
        <v>1.5053576881761412</v>
      </c>
      <c r="CQ11">
        <f t="shared" si="14"/>
        <v>0.50954330100379841</v>
      </c>
      <c r="CR11">
        <f t="shared" si="14"/>
        <v>2.7450845829187116E-4</v>
      </c>
      <c r="CS11">
        <f t="shared" si="14"/>
        <v>6.47049581302125E-2</v>
      </c>
      <c r="CT11">
        <f t="shared" ref="CT11:DY11" si="15">(CT2/CT6)*100</f>
        <v>5.6902298665243864E-2</v>
      </c>
      <c r="CU11">
        <f t="shared" si="15"/>
        <v>2.3554730699463559E-2</v>
      </c>
      <c r="CV11">
        <f t="shared" si="15"/>
        <v>2.3024027456793942E-2</v>
      </c>
      <c r="CW11">
        <f t="shared" si="15"/>
        <v>4.1088008129815431E-2</v>
      </c>
      <c r="CX11">
        <f t="shared" si="15"/>
        <v>0.22549096725136999</v>
      </c>
      <c r="CY11">
        <f t="shared" si="15"/>
        <v>7.4279253940497864E-2</v>
      </c>
      <c r="CZ11">
        <f t="shared" si="15"/>
        <v>1.0082111549209509</v>
      </c>
      <c r="DA11">
        <f t="shared" si="15"/>
        <v>3.4911737794618682E-2</v>
      </c>
      <c r="DB11">
        <f t="shared" si="15"/>
        <v>1.910837426066524E-2</v>
      </c>
      <c r="DC11">
        <f t="shared" si="15"/>
        <v>2.7476077852837094E-2</v>
      </c>
      <c r="DD11">
        <f t="shared" si="15"/>
        <v>0.62222041636500647</v>
      </c>
      <c r="DE11">
        <f t="shared" si="15"/>
        <v>1.2377541514880066E-2</v>
      </c>
      <c r="DF11">
        <f t="shared" si="15"/>
        <v>0.15871829879342395</v>
      </c>
      <c r="DG11">
        <f t="shared" si="15"/>
        <v>0.13319807549378554</v>
      </c>
      <c r="DH11">
        <f t="shared" si="15"/>
        <v>2.7044344076384549E-2</v>
      </c>
      <c r="DI11">
        <f t="shared" si="15"/>
        <v>0.30642346529872738</v>
      </c>
      <c r="DJ11">
        <f t="shared" si="15"/>
        <v>0.57411598313208856</v>
      </c>
      <c r="DK11">
        <f t="shared" si="15"/>
        <v>0.29539088362617777</v>
      </c>
      <c r="DL11">
        <f t="shared" si="15"/>
        <v>8.8020018615167939E-3</v>
      </c>
      <c r="DM11">
        <f t="shared" si="15"/>
        <v>0.46061451357642574</v>
      </c>
      <c r="DN11">
        <f t="shared" si="15"/>
        <v>5.6522601910153819E-2</v>
      </c>
      <c r="DO11">
        <f t="shared" si="15"/>
        <v>5.428614485458302E-3</v>
      </c>
      <c r="DP11">
        <f t="shared" si="15"/>
        <v>7.2408991758811658E-2</v>
      </c>
      <c r="DQ11">
        <f t="shared" si="15"/>
        <v>6.4248913007204769E-2</v>
      </c>
      <c r="DR11">
        <f t="shared" si="15"/>
        <v>0.31165039049508614</v>
      </c>
      <c r="DS11">
        <f t="shared" si="15"/>
        <v>3.1126926690789869E-2</v>
      </c>
      <c r="DT11">
        <f t="shared" si="15"/>
        <v>5.1852587872344626E-2</v>
      </c>
      <c r="DU11">
        <f t="shared" si="15"/>
        <v>4.6619983260460778E-3</v>
      </c>
      <c r="DV11">
        <f t="shared" si="15"/>
        <v>1.9931628415977634E-2</v>
      </c>
      <c r="DW11">
        <f t="shared" si="15"/>
        <v>0.49021654870845965</v>
      </c>
      <c r="DX11">
        <f t="shared" si="15"/>
        <v>0.16831718389057834</v>
      </c>
      <c r="DY11">
        <f t="shared" si="15"/>
        <v>1.5054960040606076</v>
      </c>
      <c r="DZ11">
        <f t="shared" ref="DZ11:FE11" si="16">(DZ2/DZ6)*100</f>
        <v>0.12394674313166405</v>
      </c>
      <c r="EA11">
        <f t="shared" si="16"/>
        <v>1.2018371235089997</v>
      </c>
      <c r="EB11">
        <f t="shared" si="16"/>
        <v>6.9173198420307289E-4</v>
      </c>
      <c r="EC11">
        <f t="shared" si="16"/>
        <v>6.3687747432430136E-2</v>
      </c>
      <c r="ED11">
        <f t="shared" si="16"/>
        <v>1.180376891803111</v>
      </c>
      <c r="EE11">
        <f t="shared" si="16"/>
        <v>7.4770294381786145E-2</v>
      </c>
      <c r="EF11">
        <f t="shared" si="16"/>
        <v>0.11469175421727779</v>
      </c>
      <c r="EG11">
        <f t="shared" si="16"/>
        <v>0.49343739739265635</v>
      </c>
      <c r="EH11">
        <f t="shared" si="16"/>
        <v>3.9032981278970582</v>
      </c>
      <c r="EI11">
        <f t="shared" si="16"/>
        <v>0.23877416293145304</v>
      </c>
      <c r="EJ11">
        <f t="shared" si="16"/>
        <v>0.55959629253820542</v>
      </c>
      <c r="EK11">
        <f t="shared" si="16"/>
        <v>1.4474393111575461E-2</v>
      </c>
      <c r="EL11">
        <f t="shared" si="16"/>
        <v>3.1932678400360653E-2</v>
      </c>
      <c r="EM11">
        <f t="shared" si="16"/>
        <v>1.306392614527086E-2</v>
      </c>
      <c r="EN11">
        <f t="shared" si="16"/>
        <v>0.05</v>
      </c>
      <c r="EO11">
        <f t="shared" si="16"/>
        <v>2.0596381637102956</v>
      </c>
      <c r="EP11">
        <f t="shared" si="16"/>
        <v>0.39399846955507783</v>
      </c>
      <c r="EQ11">
        <f t="shared" si="16"/>
        <v>0.77133776396371478</v>
      </c>
      <c r="ER11">
        <f t="shared" si="16"/>
        <v>5.8174878188156406E-2</v>
      </c>
      <c r="ES11">
        <f t="shared" si="16"/>
        <v>0.27641316675187333</v>
      </c>
      <c r="ET11">
        <f t="shared" si="16"/>
        <v>0.1158442403056662</v>
      </c>
      <c r="EU11">
        <f t="shared" si="16"/>
        <v>2.2309338053286911E-2</v>
      </c>
      <c r="EV11">
        <f t="shared" si="16"/>
        <v>0.86829360272672684</v>
      </c>
      <c r="EW11">
        <f t="shared" si="16"/>
        <v>3.9945676809986973E-2</v>
      </c>
      <c r="EX11">
        <f t="shared" si="16"/>
        <v>0.10038634553297598</v>
      </c>
      <c r="EY11">
        <f t="shared" si="16"/>
        <v>2.0058981942648383E-2</v>
      </c>
      <c r="EZ11">
        <f t="shared" si="16"/>
        <v>0.76206983157028907</v>
      </c>
      <c r="FA11">
        <f t="shared" si="16"/>
        <v>2.7700343715959665E-2</v>
      </c>
      <c r="FB11">
        <f t="shared" si="16"/>
        <v>2.0568287965311783E-2</v>
      </c>
      <c r="FC11">
        <f t="shared" si="16"/>
        <v>0.58263586388827537</v>
      </c>
      <c r="FD11">
        <f t="shared" si="16"/>
        <v>1.3093794232400705E-2</v>
      </c>
      <c r="FE11">
        <f t="shared" si="16"/>
        <v>2.5996997601649537E-2</v>
      </c>
      <c r="FF11">
        <f t="shared" ref="FF11:GF11" si="17">(FF2/FF6)*100</f>
        <v>0.25257428204525556</v>
      </c>
      <c r="FG11">
        <f t="shared" si="17"/>
        <v>0.78565381002763213</v>
      </c>
      <c r="FH11">
        <f t="shared" si="17"/>
        <v>0.39807402234765876</v>
      </c>
      <c r="FI11">
        <f t="shared" si="17"/>
        <v>3.8427330155761815E-3</v>
      </c>
      <c r="FJ11">
        <f t="shared" si="17"/>
        <v>1.9394489756791838E-3</v>
      </c>
      <c r="FK11">
        <f t="shared" si="17"/>
        <v>7.5699965723139223E-2</v>
      </c>
      <c r="FL11">
        <f t="shared" si="17"/>
        <v>8.4994279918358066E-4</v>
      </c>
      <c r="FM11">
        <f t="shared" si="17"/>
        <v>4.7222850921283879E-3</v>
      </c>
      <c r="FN11">
        <f t="shared" si="17"/>
        <v>1.8170640484792687E-3</v>
      </c>
      <c r="FO11">
        <f t="shared" si="17"/>
        <v>1.0534458648151732E-2</v>
      </c>
      <c r="FP11">
        <f t="shared" si="17"/>
        <v>1.0571806135933426E-2</v>
      </c>
      <c r="FQ11">
        <f t="shared" si="17"/>
        <v>1.2298406506879795E-2</v>
      </c>
      <c r="FR11">
        <f t="shared" si="17"/>
        <v>0.26888959820844971</v>
      </c>
      <c r="FS11">
        <f t="shared" si="17"/>
        <v>1.2953753694201111</v>
      </c>
      <c r="FT11">
        <f t="shared" si="17"/>
        <v>2.459238771416634E-3</v>
      </c>
      <c r="FU11">
        <f t="shared" si="17"/>
        <v>0.15351717840661086</v>
      </c>
      <c r="FV11">
        <f t="shared" si="17"/>
        <v>0.59762197413290685</v>
      </c>
      <c r="FW11">
        <f t="shared" si="17"/>
        <v>0.44419756659507326</v>
      </c>
      <c r="FX11">
        <f t="shared" si="17"/>
        <v>3.4590366036289379E-2</v>
      </c>
      <c r="FY11">
        <f t="shared" si="17"/>
        <v>6.3280173392866637E-2</v>
      </c>
      <c r="FZ11">
        <f t="shared" si="17"/>
        <v>5.6241317605885771E-2</v>
      </c>
      <c r="GA11">
        <f t="shared" si="17"/>
        <v>4.4238944908348921E-4</v>
      </c>
      <c r="GB11">
        <f t="shared" si="17"/>
        <v>0.22127083333333333</v>
      </c>
      <c r="GC11">
        <f t="shared" si="17"/>
        <v>1.6703358377235327E-3</v>
      </c>
      <c r="GD11">
        <f t="shared" si="17"/>
        <v>5.6579978844909862E-3</v>
      </c>
      <c r="GE11">
        <f t="shared" si="17"/>
        <v>2.4698687676033088E-2</v>
      </c>
      <c r="GF11">
        <f t="shared" si="17"/>
        <v>1.8167399823821907E-2</v>
      </c>
    </row>
    <row r="12" spans="1:188" x14ac:dyDescent="0.35">
      <c r="A12" s="23" t="s">
        <v>211</v>
      </c>
      <c r="B12" t="str" cm="1">
        <f t="array" ref="B12">_xlfn.IFS(B9&gt;5,"high risk",B9&lt;2,"low risk",AND(B9&lt;=5,B9&gt;=2),"moderate risk")</f>
        <v>moderate risk</v>
      </c>
      <c r="C12" t="str" cm="1">
        <f t="array" ref="C12">_xlfn.IFS(C9&gt;5,"high risk",C9&lt;2,"low risk",AND(C9&lt;=5,C9&gt;=2),"moderate risk")</f>
        <v>moderate risk</v>
      </c>
      <c r="D12" t="str" cm="1">
        <f t="array" ref="D12">_xlfn.IFS(D9&gt;5,"high risk",D9&lt;2,"low risk",AND(D9&lt;=5,D9&gt;=2),"moderate risk")</f>
        <v>moderate risk</v>
      </c>
      <c r="E12" t="str" cm="1">
        <f t="array" ref="E12">_xlfn.IFS(E9&gt;5,"high risk",E9&lt;2,"low risk",AND(E9&lt;=5,E9&gt;=2),"moderate risk")</f>
        <v>high risk</v>
      </c>
      <c r="F12" t="str" cm="1">
        <f t="array" ref="F12">_xlfn.IFS(F9&gt;5,"high risk",F9&lt;2,"low risk",AND(F9&lt;=5,F9&gt;=2),"moderate risk")</f>
        <v>moderate risk</v>
      </c>
      <c r="G12" t="str" cm="1">
        <f t="array" ref="G12">_xlfn.IFS(G9&gt;5,"high risk",G9&lt;2,"low risk",AND(G9&lt;=5,G9&gt;=2),"moderate risk")</f>
        <v>moderate risk</v>
      </c>
      <c r="H12" t="str" cm="1">
        <f t="array" ref="H12">_xlfn.IFS(H9&gt;5,"high risk",H9&lt;2,"low risk",AND(H9&lt;=5,H9&gt;=2),"moderate risk")</f>
        <v>low risk</v>
      </c>
      <c r="I12" t="str" cm="1">
        <f t="array" ref="I12">_xlfn.IFS(I9&gt;5,"high risk",I9&lt;2,"low risk",AND(I9&lt;=5,I9&gt;=2),"moderate risk")</f>
        <v>low risk</v>
      </c>
      <c r="J12" t="str" cm="1">
        <f t="array" ref="J12">_xlfn.IFS(J9&gt;5,"high risk",J9&lt;2,"low risk",AND(J9&lt;=5,J9&gt;=2),"moderate risk")</f>
        <v>low risk</v>
      </c>
      <c r="K12" t="str" cm="1">
        <f t="array" ref="K12">_xlfn.IFS(K9&gt;5,"high risk",K9&lt;2,"low risk",AND(K9&lt;=5,K9&gt;=2),"moderate risk")</f>
        <v>moderate risk</v>
      </c>
      <c r="L12" t="str" cm="1">
        <f t="array" ref="L12">_xlfn.IFS(L9&gt;5,"high risk",L9&lt;2,"low risk",AND(L9&lt;=5,L9&gt;=2),"moderate risk")</f>
        <v>low risk</v>
      </c>
      <c r="M12" t="str" cm="1">
        <f t="array" ref="M12">_xlfn.IFS(M9&gt;5,"high risk",M9&lt;2,"low risk",AND(M9&lt;=5,M9&gt;=2),"moderate risk")</f>
        <v>moderate risk</v>
      </c>
      <c r="N12" t="str" cm="1">
        <f t="array" ref="N12">_xlfn.IFS(N9&gt;5,"high risk",N9&lt;2,"low risk",AND(N9&lt;=5,N9&gt;=2),"moderate risk")</f>
        <v>low risk</v>
      </c>
      <c r="O12" t="str" cm="1">
        <f t="array" ref="O12">_xlfn.IFS(O9&gt;5,"high risk",O9&lt;2,"low risk",AND(O9&lt;=5,O9&gt;=2),"moderate risk")</f>
        <v>low risk</v>
      </c>
      <c r="P12" t="str" cm="1">
        <f t="array" ref="P12">_xlfn.IFS(P9&gt;5,"high risk",P9&lt;2,"low risk",AND(P9&lt;=5,P9&gt;=2),"moderate risk")</f>
        <v>high risk</v>
      </c>
      <c r="Q12" t="str" cm="1">
        <f t="array" ref="Q12">_xlfn.IFS(Q9&gt;5,"high risk",Q9&lt;2,"low risk",AND(Q9&lt;=5,Q9&gt;=2),"moderate risk")</f>
        <v>low risk</v>
      </c>
      <c r="R12" t="str" cm="1">
        <f t="array" ref="R12">_xlfn.IFS(R9&gt;5,"high risk",R9&lt;2,"low risk",AND(R9&lt;=5,R9&gt;=2),"moderate risk")</f>
        <v>high risk</v>
      </c>
      <c r="S12" t="str" cm="1">
        <f t="array" ref="S12">_xlfn.IFS(S9&gt;5,"high risk",S9&lt;2,"low risk",AND(S9&lt;=5,S9&gt;=2),"moderate risk")</f>
        <v>moderate risk</v>
      </c>
      <c r="T12" t="str" cm="1">
        <f t="array" ref="T12">_xlfn.IFS(T9&gt;5,"high risk",T9&lt;2,"low risk",AND(T9&lt;=5,T9&gt;=2),"moderate risk")</f>
        <v>low risk</v>
      </c>
      <c r="U12" t="str" cm="1">
        <f t="array" ref="U12">_xlfn.IFS(U9&gt;5,"high risk",U9&lt;2,"low risk",AND(U9&lt;=5,U9&gt;=2),"moderate risk")</f>
        <v>low risk</v>
      </c>
      <c r="V12" t="str" cm="1">
        <f t="array" ref="V12">_xlfn.IFS(V9&gt;5,"high risk",V9&lt;2,"low risk",AND(V9&lt;=5,V9&gt;=2),"moderate risk")</f>
        <v>moderate risk</v>
      </c>
      <c r="W12" t="str" cm="1">
        <f t="array" ref="W12">_xlfn.IFS(W9&gt;5,"high risk",W9&lt;2,"low risk",AND(W9&lt;=5,W9&gt;=2),"moderate risk")</f>
        <v>moderate risk</v>
      </c>
      <c r="X12" t="str" cm="1">
        <f t="array" ref="X12">_xlfn.IFS(X9&gt;5,"high risk",X9&lt;2,"low risk",AND(X9&lt;=5,X9&gt;=2),"moderate risk")</f>
        <v>low risk</v>
      </c>
      <c r="Y12" t="str" cm="1">
        <f t="array" ref="Y12">_xlfn.IFS(Y9&gt;5,"high risk",Y9&lt;2,"low risk",AND(Y9&lt;=5,Y9&gt;=2),"moderate risk")</f>
        <v>moderate risk</v>
      </c>
      <c r="Z12" t="str" cm="1">
        <f t="array" ref="Z12">_xlfn.IFS(Z9&gt;5,"high risk",Z9&lt;2,"low risk",AND(Z9&lt;=5,Z9&gt;=2),"moderate risk")</f>
        <v>moderate risk</v>
      </c>
      <c r="AA12" t="str" cm="1">
        <f t="array" ref="AA12">_xlfn.IFS(AA9&gt;5,"high risk",AA9&lt;2,"low risk",AND(AA9&lt;=5,AA9&gt;=2),"moderate risk")</f>
        <v>moderate risk</v>
      </c>
      <c r="AB12" t="str" cm="1">
        <f t="array" ref="AB12">_xlfn.IFS(AB9&gt;5,"high risk",AB9&lt;2,"low risk",AND(AB9&lt;=5,AB9&gt;=2),"moderate risk")</f>
        <v>moderate risk</v>
      </c>
      <c r="AC12" t="str" cm="1">
        <f t="array" ref="AC12">_xlfn.IFS(AC9&gt;5,"high risk",AC9&lt;2,"low risk",AND(AC9&lt;=5,AC9&gt;=2),"moderate risk")</f>
        <v>low risk</v>
      </c>
      <c r="AD12" t="str" cm="1">
        <f t="array" ref="AD12">_xlfn.IFS(AD9&gt;5,"high risk",AD9&lt;2,"low risk",AND(AD9&lt;=5,AD9&gt;=2),"moderate risk")</f>
        <v>low risk</v>
      </c>
      <c r="AE12" t="str" cm="1">
        <f t="array" ref="AE12">_xlfn.IFS(AE9&gt;5,"high risk",AE9&lt;2,"low risk",AND(AE9&lt;=5,AE9&gt;=2),"moderate risk")</f>
        <v>low risk</v>
      </c>
      <c r="AF12" t="str" cm="1">
        <f t="array" ref="AF12">_xlfn.IFS(AF9&gt;5,"high risk",AF9&lt;2,"low risk",AND(AF9&lt;=5,AF9&gt;=2),"moderate risk")</f>
        <v>low risk</v>
      </c>
      <c r="AG12" t="str" cm="1">
        <f t="array" ref="AG12">_xlfn.IFS(AG9&gt;5,"high risk",AG9&lt;2,"low risk",AND(AG9&lt;=5,AG9&gt;=2),"moderate risk")</f>
        <v>moderate risk</v>
      </c>
      <c r="AH12" t="str" cm="1">
        <f t="array" ref="AH12">_xlfn.IFS(AH9&gt;5,"high risk",AH9&lt;2,"low risk",AND(AH9&lt;=5,AH9&gt;=2),"moderate risk")</f>
        <v>high risk</v>
      </c>
      <c r="AI12" t="str" cm="1">
        <f t="array" ref="AI12">_xlfn.IFS(AI9&gt;5,"high risk",AI9&lt;2,"low risk",AND(AI9&lt;=5,AI9&gt;=2),"moderate risk")</f>
        <v>low risk</v>
      </c>
      <c r="AJ12" t="str" cm="1">
        <f t="array" ref="AJ12">_xlfn.IFS(AJ9&gt;5,"high risk",AJ9&lt;2,"low risk",AND(AJ9&lt;=5,AJ9&gt;=2),"moderate risk")</f>
        <v>high risk</v>
      </c>
      <c r="AK12" t="str" cm="1">
        <f t="array" ref="AK12">_xlfn.IFS(AK9&gt;5,"high risk",AK9&lt;2,"low risk",AND(AK9&lt;=5,AK9&gt;=2),"moderate risk")</f>
        <v>moderate risk</v>
      </c>
      <c r="AL12" t="str" cm="1">
        <f t="array" ref="AL12">_xlfn.IFS(AL9&gt;5,"high risk",AL9&lt;2,"low risk",AND(AL9&lt;=5,AL9&gt;=2),"moderate risk")</f>
        <v>high risk</v>
      </c>
      <c r="AM12" t="str" cm="1">
        <f t="array" ref="AM12">_xlfn.IFS(AM9&gt;5,"high risk",AM9&lt;2,"low risk",AND(AM9&lt;=5,AM9&gt;=2),"moderate risk")</f>
        <v>moderate risk</v>
      </c>
      <c r="AN12" t="str" cm="1">
        <f t="array" ref="AN12">_xlfn.IFS(AN9&gt;5,"high risk",AN9&lt;2,"low risk",AND(AN9&lt;=5,AN9&gt;=2),"moderate risk")</f>
        <v>low risk</v>
      </c>
      <c r="AO12" t="str" cm="1">
        <f t="array" ref="AO12">_xlfn.IFS(AO9&gt;5,"high risk",AO9&lt;2,"low risk",AND(AO9&lt;=5,AO9&gt;=2),"moderate risk")</f>
        <v>low risk</v>
      </c>
      <c r="AP12" t="str" cm="1">
        <f t="array" ref="AP12">_xlfn.IFS(AP9&gt;5,"high risk",AP9&lt;2,"low risk",AND(AP9&lt;=5,AP9&gt;=2),"moderate risk")</f>
        <v>moderate risk</v>
      </c>
      <c r="AQ12" t="str" cm="1">
        <f t="array" ref="AQ12">_xlfn.IFS(AQ9&gt;5,"high risk",AQ9&lt;2,"low risk",AND(AQ9&lt;=5,AQ9&gt;=2),"moderate risk")</f>
        <v>low risk</v>
      </c>
      <c r="AR12" t="str" cm="1">
        <f t="array" ref="AR12">_xlfn.IFS(AR9&gt;5,"high risk",AR9&lt;2,"low risk",AND(AR9&lt;=5,AR9&gt;=2),"moderate risk")</f>
        <v>low risk</v>
      </c>
      <c r="AS12" t="str" cm="1">
        <f t="array" ref="AS12">_xlfn.IFS(AS9&gt;5,"high risk",AS9&lt;2,"low risk",AND(AS9&lt;=5,AS9&gt;=2),"moderate risk")</f>
        <v>moderate risk</v>
      </c>
      <c r="AT12" t="str" cm="1">
        <f t="array" ref="AT12">_xlfn.IFS(AT9&gt;5,"high risk",AT9&lt;2,"low risk",AND(AT9&lt;=5,AT9&gt;=2),"moderate risk")</f>
        <v>moderate risk</v>
      </c>
      <c r="AU12" t="str" cm="1">
        <f t="array" ref="AU12">_xlfn.IFS(AU9&gt;5,"high risk",AU9&lt;2,"low risk",AND(AU9&lt;=5,AU9&gt;=2),"moderate risk")</f>
        <v>low risk</v>
      </c>
      <c r="AV12" t="str" cm="1">
        <f t="array" ref="AV12">_xlfn.IFS(AV9&gt;5,"high risk",AV9&lt;2,"low risk",AND(AV9&lt;=5,AV9&gt;=2),"moderate risk")</f>
        <v>moderate risk</v>
      </c>
      <c r="AW12" t="str" cm="1">
        <f t="array" ref="AW12">_xlfn.IFS(AW9&gt;5,"high risk",AW9&lt;2,"low risk",AND(AW9&lt;=5,AW9&gt;=2),"moderate risk")</f>
        <v>moderate risk</v>
      </c>
      <c r="AX12" t="str" cm="1">
        <f t="array" ref="AX12">_xlfn.IFS(AX9&gt;5,"high risk",AX9&lt;2,"low risk",AND(AX9&lt;=5,AX9&gt;=2),"moderate risk")</f>
        <v>low risk</v>
      </c>
      <c r="AY12" t="str" cm="1">
        <f t="array" ref="AY12">_xlfn.IFS(AY9&gt;5,"high risk",AY9&lt;2,"low risk",AND(AY9&lt;=5,AY9&gt;=2),"moderate risk")</f>
        <v>low risk</v>
      </c>
      <c r="AZ12" t="str" cm="1">
        <f t="array" ref="AZ12">_xlfn.IFS(AZ9&gt;5,"high risk",AZ9&lt;2,"low risk",AND(AZ9&lt;=5,AZ9&gt;=2),"moderate risk")</f>
        <v>low risk</v>
      </c>
      <c r="BA12" t="str" cm="1">
        <f t="array" ref="BA12">_xlfn.IFS(BA9&gt;5,"high risk",BA9&lt;2,"low risk",AND(BA9&lt;=5,BA9&gt;=2),"moderate risk")</f>
        <v>high risk</v>
      </c>
      <c r="BB12" t="str" cm="1">
        <f t="array" ref="BB12">_xlfn.IFS(BB9&gt;5,"high risk",BB9&lt;2,"low risk",AND(BB9&lt;=5,BB9&gt;=2),"moderate risk")</f>
        <v>high risk</v>
      </c>
      <c r="BC12" t="str" cm="1">
        <f t="array" ref="BC12">_xlfn.IFS(BC9&gt;5,"high risk",BC9&lt;2,"low risk",AND(BC9&lt;=5,BC9&gt;=2),"moderate risk")</f>
        <v>moderate risk</v>
      </c>
      <c r="BD12" t="str" cm="1">
        <f t="array" ref="BD12">_xlfn.IFS(BD9&gt;5,"high risk",BD9&lt;2,"low risk",AND(BD9&lt;=5,BD9&gt;=2),"moderate risk")</f>
        <v>low risk</v>
      </c>
      <c r="BE12" t="str" cm="1">
        <f t="array" ref="BE12">_xlfn.IFS(BE9&gt;5,"high risk",BE9&lt;2,"low risk",AND(BE9&lt;=5,BE9&gt;=2),"moderate risk")</f>
        <v>low risk</v>
      </c>
      <c r="BF12" t="str" cm="1">
        <f t="array" ref="BF12">_xlfn.IFS(BF9&gt;5,"high risk",BF9&lt;2,"low risk",AND(BF9&lt;=5,BF9&gt;=2),"moderate risk")</f>
        <v>moderate risk</v>
      </c>
      <c r="BG12" t="str" cm="1">
        <f t="array" ref="BG12">_xlfn.IFS(BG9&gt;5,"high risk",BG9&lt;2,"low risk",AND(BG9&lt;=5,BG9&gt;=2),"moderate risk")</f>
        <v>low risk</v>
      </c>
      <c r="BH12" t="str" cm="1">
        <f t="array" ref="BH12">_xlfn.IFS(BH9&gt;5,"high risk",BH9&lt;2,"low risk",AND(BH9&lt;=5,BH9&gt;=2),"moderate risk")</f>
        <v>low risk</v>
      </c>
      <c r="BI12" t="str" cm="1">
        <f t="array" ref="BI12">_xlfn.IFS(BI9&gt;5,"high risk",BI9&lt;2,"low risk",AND(BI9&lt;=5,BI9&gt;=2),"moderate risk")</f>
        <v>low risk</v>
      </c>
      <c r="BJ12" t="str" cm="1">
        <f t="array" ref="BJ12">_xlfn.IFS(BJ9&gt;5,"high risk",BJ9&lt;2,"low risk",AND(BJ9&lt;=5,BJ9&gt;=2),"moderate risk")</f>
        <v>moderate risk</v>
      </c>
      <c r="BK12" t="str" cm="1">
        <f t="array" ref="BK12">_xlfn.IFS(BK9&gt;5,"high risk",BK9&lt;2,"low risk",AND(BK9&lt;=5,BK9&gt;=2),"moderate risk")</f>
        <v>high risk</v>
      </c>
      <c r="BL12" t="str" cm="1">
        <f t="array" ref="BL12">_xlfn.IFS(BL9&gt;5,"high risk",BL9&lt;2,"low risk",AND(BL9&lt;=5,BL9&gt;=2),"moderate risk")</f>
        <v>low risk</v>
      </c>
      <c r="BM12" t="str" cm="1">
        <f t="array" ref="BM12">_xlfn.IFS(BM9&gt;5,"high risk",BM9&lt;2,"low risk",AND(BM9&lt;=5,BM9&gt;=2),"moderate risk")</f>
        <v>moderate risk</v>
      </c>
      <c r="BN12" t="str" cm="1">
        <f t="array" ref="BN12">_xlfn.IFS(BN9&gt;5,"high risk",BN9&lt;2,"low risk",AND(BN9&lt;=5,BN9&gt;=2),"moderate risk")</f>
        <v>low risk</v>
      </c>
      <c r="BO12" t="str" cm="1">
        <f t="array" ref="BO12">_xlfn.IFS(BO9&gt;5,"high risk",BO9&lt;2,"low risk",AND(BO9&lt;=5,BO9&gt;=2),"moderate risk")</f>
        <v>moderate risk</v>
      </c>
      <c r="BP12" t="str" cm="1">
        <f t="array" ref="BP12">_xlfn.IFS(BP9&gt;5,"high risk",BP9&lt;2,"low risk",AND(BP9&lt;=5,BP9&gt;=2),"moderate risk")</f>
        <v>low risk</v>
      </c>
      <c r="BQ12" t="str" cm="1">
        <f t="array" ref="BQ12">_xlfn.IFS(BQ9&gt;5,"high risk",BQ9&lt;2,"low risk",AND(BQ9&lt;=5,BQ9&gt;=2),"moderate risk")</f>
        <v>moderate risk</v>
      </c>
      <c r="BR12" t="str" cm="1">
        <f t="array" ref="BR12">_xlfn.IFS(BR9&gt;5,"high risk",BR9&lt;2,"low risk",AND(BR9&lt;=5,BR9&gt;=2),"moderate risk")</f>
        <v>low risk</v>
      </c>
      <c r="BS12" t="str" cm="1">
        <f t="array" ref="BS12">_xlfn.IFS(BS9&gt;5,"high risk",BS9&lt;2,"low risk",AND(BS9&lt;=5,BS9&gt;=2),"moderate risk")</f>
        <v>low risk</v>
      </c>
      <c r="BT12" t="str" cm="1">
        <f t="array" ref="BT12">_xlfn.IFS(BT9&gt;5,"high risk",BT9&lt;2,"low risk",AND(BT9&lt;=5,BT9&gt;=2),"moderate risk")</f>
        <v>moderate risk</v>
      </c>
      <c r="BU12" t="str" cm="1">
        <f t="array" ref="BU12">_xlfn.IFS(BU9&gt;5,"high risk",BU9&lt;2,"low risk",AND(BU9&lt;=5,BU9&gt;=2),"moderate risk")</f>
        <v>low risk</v>
      </c>
      <c r="BV12" t="str" cm="1">
        <f t="array" ref="BV12">_xlfn.IFS(BV9&gt;5,"high risk",BV9&lt;2,"low risk",AND(BV9&lt;=5,BV9&gt;=2),"moderate risk")</f>
        <v>low risk</v>
      </c>
      <c r="BW12" t="str" cm="1">
        <f t="array" ref="BW12">_xlfn.IFS(BW9&gt;5,"high risk",BW9&lt;2,"low risk",AND(BW9&lt;=5,BW9&gt;=2),"moderate risk")</f>
        <v>high risk</v>
      </c>
      <c r="BX12" t="str" cm="1">
        <f t="array" ref="BX12">_xlfn.IFS(BX9&gt;5,"high risk",BX9&lt;2,"low risk",AND(BX9&lt;=5,BX9&gt;=2),"moderate risk")</f>
        <v>moderate risk</v>
      </c>
      <c r="BY12" t="str" cm="1">
        <f t="array" ref="BY12">_xlfn.IFS(BY9&gt;5,"high risk",BY9&lt;2,"low risk",AND(BY9&lt;=5,BY9&gt;=2),"moderate risk")</f>
        <v>low risk</v>
      </c>
      <c r="BZ12" t="str" cm="1">
        <f t="array" ref="BZ12">_xlfn.IFS(BZ9&gt;5,"high risk",BZ9&lt;2,"low risk",AND(BZ9&lt;=5,BZ9&gt;=2),"moderate risk")</f>
        <v>moderate risk</v>
      </c>
      <c r="CA12" t="str" cm="1">
        <f t="array" ref="CA12">_xlfn.IFS(CA9&gt;5,"high risk",CA9&lt;2,"low risk",AND(CA9&lt;=5,CA9&gt;=2),"moderate risk")</f>
        <v>high risk</v>
      </c>
      <c r="CB12" t="str" cm="1">
        <f t="array" ref="CB12">_xlfn.IFS(CB9&gt;5,"high risk",CB9&lt;2,"low risk",AND(CB9&lt;=5,CB9&gt;=2),"moderate risk")</f>
        <v>low risk</v>
      </c>
      <c r="CC12" t="str" cm="1">
        <f t="array" ref="CC12">_xlfn.IFS(CC9&gt;5,"high risk",CC9&lt;2,"low risk",AND(CC9&lt;=5,CC9&gt;=2),"moderate risk")</f>
        <v>moderate risk</v>
      </c>
      <c r="CD12" t="str" cm="1">
        <f t="array" ref="CD12">_xlfn.IFS(CD9&gt;5,"high risk",CD9&lt;2,"low risk",AND(CD9&lt;=5,CD9&gt;=2),"moderate risk")</f>
        <v>moderate risk</v>
      </c>
      <c r="CE12" t="str" cm="1">
        <f t="array" ref="CE12">_xlfn.IFS(CE9&gt;5,"high risk",CE9&lt;2,"low risk",AND(CE9&lt;=5,CE9&gt;=2),"moderate risk")</f>
        <v>high risk</v>
      </c>
      <c r="CF12" t="str" cm="1">
        <f t="array" ref="CF12">_xlfn.IFS(CF9&gt;5,"high risk",CF9&lt;2,"low risk",AND(CF9&lt;=5,CF9&gt;=2),"moderate risk")</f>
        <v>moderate risk</v>
      </c>
      <c r="CG12" t="str" cm="1">
        <f t="array" ref="CG12">_xlfn.IFS(CG9&gt;5,"high risk",CG9&lt;2,"low risk",AND(CG9&lt;=5,CG9&gt;=2),"moderate risk")</f>
        <v>high risk</v>
      </c>
      <c r="CH12" t="str" cm="1">
        <f t="array" ref="CH12">_xlfn.IFS(CH9&gt;5,"high risk",CH9&lt;2,"low risk",AND(CH9&lt;=5,CH9&gt;=2),"moderate risk")</f>
        <v>low risk</v>
      </c>
      <c r="CI12" t="str" cm="1">
        <f t="array" ref="CI12">_xlfn.IFS(CI9&gt;5,"high risk",CI9&lt;2,"low risk",AND(CI9&lt;=5,CI9&gt;=2),"moderate risk")</f>
        <v>high risk</v>
      </c>
      <c r="CJ12" t="str" cm="1">
        <f t="array" ref="CJ12">_xlfn.IFS(CJ9&gt;5,"high risk",CJ9&lt;2,"low risk",AND(CJ9&lt;=5,CJ9&gt;=2),"moderate risk")</f>
        <v>low risk</v>
      </c>
      <c r="CK12" t="str" cm="1">
        <f t="array" ref="CK12">_xlfn.IFS(CK9&gt;5,"high risk",CK9&lt;2,"low risk",AND(CK9&lt;=5,CK9&gt;=2),"moderate risk")</f>
        <v>moderate risk</v>
      </c>
      <c r="CL12" t="str" cm="1">
        <f t="array" ref="CL12">_xlfn.IFS(CL9&gt;5,"high risk",CL9&lt;2,"low risk",AND(CL9&lt;=5,CL9&gt;=2),"moderate risk")</f>
        <v>low risk</v>
      </c>
      <c r="CM12" t="str" cm="1">
        <f t="array" ref="CM12">_xlfn.IFS(CM9&gt;5,"high risk",CM9&lt;2,"low risk",AND(CM9&lt;=5,CM9&gt;=2),"moderate risk")</f>
        <v>low risk</v>
      </c>
      <c r="CN12" t="str" cm="1">
        <f t="array" ref="CN12">_xlfn.IFS(CN9&gt;5,"high risk",CN9&lt;2,"low risk",AND(CN9&lt;=5,CN9&gt;=2),"moderate risk")</f>
        <v>low risk</v>
      </c>
      <c r="CO12" t="str" cm="1">
        <f t="array" ref="CO12">_xlfn.IFS(CO9&gt;5,"high risk",CO9&lt;2,"low risk",AND(CO9&lt;=5,CO9&gt;=2),"moderate risk")</f>
        <v>moderate risk</v>
      </c>
      <c r="CP12" t="str" cm="1">
        <f t="array" ref="CP12">_xlfn.IFS(CP9&gt;5,"high risk",CP9&lt;2,"low risk",AND(CP9&lt;=5,CP9&gt;=2),"moderate risk")</f>
        <v>low risk</v>
      </c>
      <c r="CQ12" t="str" cm="1">
        <f t="array" ref="CQ12">_xlfn.IFS(CQ9&gt;5,"high risk",CQ9&lt;2,"low risk",AND(CQ9&lt;=5,CQ9&gt;=2),"moderate risk")</f>
        <v>moderate risk</v>
      </c>
      <c r="CR12" t="str" cm="1">
        <f t="array" ref="CR12">_xlfn.IFS(CR9&gt;5,"high risk",CR9&lt;2,"low risk",AND(CR9&lt;=5,CR9&gt;=2),"moderate risk")</f>
        <v>low risk</v>
      </c>
      <c r="CS12" t="str" cm="1">
        <f t="array" ref="CS12">_xlfn.IFS(CS9&gt;5,"high risk",CS9&lt;2,"low risk",AND(CS9&lt;=5,CS9&gt;=2),"moderate risk")</f>
        <v>moderate risk</v>
      </c>
      <c r="CT12" t="str" cm="1">
        <f t="array" ref="CT12">_xlfn.IFS(CT9&gt;5,"high risk",CT9&lt;2,"low risk",AND(CT9&lt;=5,CT9&gt;=2),"moderate risk")</f>
        <v>low risk</v>
      </c>
      <c r="CU12" t="str" cm="1">
        <f t="array" ref="CU12">_xlfn.IFS(CU9&gt;5,"high risk",CU9&lt;2,"low risk",AND(CU9&lt;=5,CU9&gt;=2),"moderate risk")</f>
        <v>moderate risk</v>
      </c>
      <c r="CV12" t="str" cm="1">
        <f t="array" ref="CV12">_xlfn.IFS(CV9&gt;5,"high risk",CV9&lt;2,"low risk",AND(CV9&lt;=5,CV9&gt;=2),"moderate risk")</f>
        <v>high risk</v>
      </c>
      <c r="CW12" t="str" cm="1">
        <f t="array" ref="CW12">_xlfn.IFS(CW9&gt;5,"high risk",CW9&lt;2,"low risk",AND(CW9&lt;=5,CW9&gt;=2),"moderate risk")</f>
        <v>moderate risk</v>
      </c>
      <c r="CX12" t="str" cm="1">
        <f t="array" ref="CX12">_xlfn.IFS(CX9&gt;5,"high risk",CX9&lt;2,"low risk",AND(CX9&lt;=5,CX9&gt;=2),"moderate risk")</f>
        <v>low risk</v>
      </c>
      <c r="CY12" t="str" cm="1">
        <f t="array" ref="CY12">_xlfn.IFS(CY9&gt;5,"high risk",CY9&lt;2,"low risk",AND(CY9&lt;=5,CY9&gt;=2),"moderate risk")</f>
        <v>moderate risk</v>
      </c>
      <c r="CZ12" t="str" cm="1">
        <f t="array" ref="CZ12">_xlfn.IFS(CZ9&gt;5,"high risk",CZ9&lt;2,"low risk",AND(CZ9&lt;=5,CZ9&gt;=2),"moderate risk")</f>
        <v>low risk</v>
      </c>
      <c r="DA12" t="str" cm="1">
        <f t="array" ref="DA12">_xlfn.IFS(DA9&gt;5,"high risk",DA9&lt;2,"low risk",AND(DA9&lt;=5,DA9&gt;=2),"moderate risk")</f>
        <v>low risk</v>
      </c>
      <c r="DB12" t="str" cm="1">
        <f t="array" ref="DB12">_xlfn.IFS(DB9&gt;5,"high risk",DB9&lt;2,"low risk",AND(DB9&lt;=5,DB9&gt;=2),"moderate risk")</f>
        <v>moderate risk</v>
      </c>
      <c r="DC12" t="str" cm="1">
        <f t="array" ref="DC12">_xlfn.IFS(DC9&gt;5,"high risk",DC9&lt;2,"low risk",AND(DC9&lt;=5,DC9&gt;=2),"moderate risk")</f>
        <v>low risk</v>
      </c>
      <c r="DD12" t="str" cm="1">
        <f t="array" ref="DD12">_xlfn.IFS(DD9&gt;5,"high risk",DD9&lt;2,"low risk",AND(DD9&lt;=5,DD9&gt;=2),"moderate risk")</f>
        <v>low risk</v>
      </c>
      <c r="DE12" t="str" cm="1">
        <f t="array" ref="DE12">_xlfn.IFS(DE9&gt;5,"high risk",DE9&lt;2,"low risk",AND(DE9&lt;=5,DE9&gt;=2),"moderate risk")</f>
        <v>moderate risk</v>
      </c>
      <c r="DF12" t="str" cm="1">
        <f t="array" ref="DF12">_xlfn.IFS(DF9&gt;5,"high risk",DF9&lt;2,"low risk",AND(DF9&lt;=5,DF9&gt;=2),"moderate risk")</f>
        <v>low risk</v>
      </c>
      <c r="DG12" t="str" cm="1">
        <f t="array" ref="DG12">_xlfn.IFS(DG9&gt;5,"high risk",DG9&lt;2,"low risk",AND(DG9&lt;=5,DG9&gt;=2),"moderate risk")</f>
        <v>moderate risk</v>
      </c>
      <c r="DH12" t="str" cm="1">
        <f t="array" ref="DH12">_xlfn.IFS(DH9&gt;5,"high risk",DH9&lt;2,"low risk",AND(DH9&lt;=5,DH9&gt;=2),"moderate risk")</f>
        <v>moderate risk</v>
      </c>
      <c r="DI12" t="str" cm="1">
        <f t="array" ref="DI12">_xlfn.IFS(DI9&gt;5,"high risk",DI9&lt;2,"low risk",AND(DI9&lt;=5,DI9&gt;=2),"moderate risk")</f>
        <v>high risk</v>
      </c>
      <c r="DJ12" t="str" cm="1">
        <f t="array" ref="DJ12">_xlfn.IFS(DJ9&gt;5,"high risk",DJ9&lt;2,"low risk",AND(DJ9&lt;=5,DJ9&gt;=2),"moderate risk")</f>
        <v>moderate risk</v>
      </c>
      <c r="DK12" t="str" cm="1">
        <f t="array" ref="DK12">_xlfn.IFS(DK9&gt;5,"high risk",DK9&lt;2,"low risk",AND(DK9&lt;=5,DK9&gt;=2),"moderate risk")</f>
        <v>moderate risk</v>
      </c>
      <c r="DL12" t="str" cm="1">
        <f t="array" ref="DL12">_xlfn.IFS(DL9&gt;5,"high risk",DL9&lt;2,"low risk",AND(DL9&lt;=5,DL9&gt;=2),"moderate risk")</f>
        <v>low risk</v>
      </c>
      <c r="DM12" t="str" cm="1">
        <f t="array" ref="DM12">_xlfn.IFS(DM9&gt;5,"high risk",DM9&lt;2,"low risk",AND(DM9&lt;=5,DM9&gt;=2),"moderate risk")</f>
        <v>low risk</v>
      </c>
      <c r="DN12" t="str" cm="1">
        <f t="array" ref="DN12">_xlfn.IFS(DN9&gt;5,"high risk",DN9&lt;2,"low risk",AND(DN9&lt;=5,DN9&gt;=2),"moderate risk")</f>
        <v>low risk</v>
      </c>
      <c r="DO12" t="str" cm="1">
        <f t="array" ref="DO12">_xlfn.IFS(DO9&gt;5,"high risk",DO9&lt;2,"low risk",AND(DO9&lt;=5,DO9&gt;=2),"moderate risk")</f>
        <v>low risk</v>
      </c>
      <c r="DP12" t="str" cm="1">
        <f t="array" ref="DP12">_xlfn.IFS(DP9&gt;5,"high risk",DP9&lt;2,"low risk",AND(DP9&lt;=5,DP9&gt;=2),"moderate risk")</f>
        <v>low risk</v>
      </c>
      <c r="DQ12" t="str" cm="1">
        <f t="array" ref="DQ12">_xlfn.IFS(DQ9&gt;5,"high risk",DQ9&lt;2,"low risk",AND(DQ9&lt;=5,DQ9&gt;=2),"moderate risk")</f>
        <v>low risk</v>
      </c>
      <c r="DR12" t="str" cm="1">
        <f t="array" ref="DR12">_xlfn.IFS(DR9&gt;5,"high risk",DR9&lt;2,"low risk",AND(DR9&lt;=5,DR9&gt;=2),"moderate risk")</f>
        <v>high risk</v>
      </c>
      <c r="DS12" t="str" cm="1">
        <f t="array" ref="DS12">_xlfn.IFS(DS9&gt;5,"high risk",DS9&lt;2,"low risk",AND(DS9&lt;=5,DS9&gt;=2),"moderate risk")</f>
        <v>low risk</v>
      </c>
      <c r="DT12" t="str" cm="1">
        <f t="array" ref="DT12">_xlfn.IFS(DT9&gt;5,"high risk",DT9&lt;2,"low risk",AND(DT9&lt;=5,DT9&gt;=2),"moderate risk")</f>
        <v>moderate risk</v>
      </c>
      <c r="DU12" t="str" cm="1">
        <f t="array" ref="DU12">_xlfn.IFS(DU9&gt;5,"high risk",DU9&lt;2,"low risk",AND(DU9&lt;=5,DU9&gt;=2),"moderate risk")</f>
        <v>high risk</v>
      </c>
      <c r="DV12" t="str" cm="1">
        <f t="array" ref="DV12">_xlfn.IFS(DV9&gt;5,"high risk",DV9&lt;2,"low risk",AND(DV9&lt;=5,DV9&gt;=2),"moderate risk")</f>
        <v>moderate risk</v>
      </c>
      <c r="DW12" t="str" cm="1">
        <f t="array" ref="DW12">_xlfn.IFS(DW9&gt;5,"high risk",DW9&lt;2,"low risk",AND(DW9&lt;=5,DW9&gt;=2),"moderate risk")</f>
        <v>moderate risk</v>
      </c>
      <c r="DX12" t="str" cm="1">
        <f t="array" ref="DX12">_xlfn.IFS(DX9&gt;5,"high risk",DX9&lt;2,"low risk",AND(DX9&lt;=5,DX9&gt;=2),"moderate risk")</f>
        <v>moderate risk</v>
      </c>
      <c r="DY12" t="str" cm="1">
        <f t="array" ref="DY12">_xlfn.IFS(DY9&gt;5,"high risk",DY9&lt;2,"low risk",AND(DY9&lt;=5,DY9&gt;=2),"moderate risk")</f>
        <v>low risk</v>
      </c>
      <c r="DZ12" t="str" cm="1">
        <f t="array" ref="DZ12">_xlfn.IFS(DZ9&gt;5,"high risk",DZ9&lt;2,"low risk",AND(DZ9&lt;=5,DZ9&gt;=2),"moderate risk")</f>
        <v>moderate risk</v>
      </c>
      <c r="EA12" t="str" cm="1">
        <f t="array" ref="EA12">_xlfn.IFS(EA9&gt;5,"high risk",EA9&lt;2,"low risk",AND(EA9&lt;=5,EA9&gt;=2),"moderate risk")</f>
        <v>moderate risk</v>
      </c>
      <c r="EB12" t="str" cm="1">
        <f t="array" ref="EB12">_xlfn.IFS(EB9&gt;5,"high risk",EB9&lt;2,"low risk",AND(EB9&lt;=5,EB9&gt;=2),"moderate risk")</f>
        <v>low risk</v>
      </c>
      <c r="EC12" t="str" cm="1">
        <f t="array" ref="EC12">_xlfn.IFS(EC9&gt;5,"high risk",EC9&lt;2,"low risk",AND(EC9&lt;=5,EC9&gt;=2),"moderate risk")</f>
        <v>low risk</v>
      </c>
      <c r="ED12" t="str" cm="1">
        <f t="array" ref="ED12">_xlfn.IFS(ED9&gt;5,"high risk",ED9&lt;2,"low risk",AND(ED9&lt;=5,ED9&gt;=2),"moderate risk")</f>
        <v>moderate risk</v>
      </c>
      <c r="EE12" t="str" cm="1">
        <f t="array" ref="EE12">_xlfn.IFS(EE9&gt;5,"high risk",EE9&lt;2,"low risk",AND(EE9&lt;=5,EE9&gt;=2),"moderate risk")</f>
        <v>moderate risk</v>
      </c>
      <c r="EF12" t="str" cm="1">
        <f t="array" ref="EF12">_xlfn.IFS(EF9&gt;5,"high risk",EF9&lt;2,"low risk",AND(EF9&lt;=5,EF9&gt;=2),"moderate risk")</f>
        <v>moderate risk</v>
      </c>
      <c r="EG12" t="str" cm="1">
        <f t="array" ref="EG12">_xlfn.IFS(EG9&gt;5,"high risk",EG9&lt;2,"low risk",AND(EG9&lt;=5,EG9&gt;=2),"moderate risk")</f>
        <v>moderate risk</v>
      </c>
      <c r="EH12" t="str" cm="1">
        <f t="array" ref="EH12">_xlfn.IFS(EH9&gt;5,"high risk",EH9&lt;2,"low risk",AND(EH9&lt;=5,EH9&gt;=2),"moderate risk")</f>
        <v>low risk</v>
      </c>
      <c r="EI12" t="str" cm="1">
        <f t="array" ref="EI12">_xlfn.IFS(EI9&gt;5,"high risk",EI9&lt;2,"low risk",AND(EI9&lt;=5,EI9&gt;=2),"moderate risk")</f>
        <v>moderate risk</v>
      </c>
      <c r="EJ12" t="str" cm="1">
        <f t="array" ref="EJ12">_xlfn.IFS(EJ9&gt;5,"high risk",EJ9&lt;2,"low risk",AND(EJ9&lt;=5,EJ9&gt;=2),"moderate risk")</f>
        <v>low risk</v>
      </c>
      <c r="EK12" t="str" cm="1">
        <f t="array" ref="EK12">_xlfn.IFS(EK9&gt;5,"high risk",EK9&lt;2,"low risk",AND(EK9&lt;=5,EK9&gt;=2),"moderate risk")</f>
        <v>low risk</v>
      </c>
      <c r="EL12" t="str" cm="1">
        <f t="array" ref="EL12">_xlfn.IFS(EL9&gt;5,"high risk",EL9&lt;2,"low risk",AND(EL9&lt;=5,EL9&gt;=2),"moderate risk")</f>
        <v>low risk</v>
      </c>
      <c r="EM12" t="str" cm="1">
        <f t="array" ref="EM12">_xlfn.IFS(EM9&gt;5,"high risk",EM9&lt;2,"low risk",AND(EM9&lt;=5,EM9&gt;=2),"moderate risk")</f>
        <v>low risk</v>
      </c>
      <c r="EN12" t="str" cm="1">
        <f t="array" ref="EN12">_xlfn.IFS(EN9&gt;5,"high risk",EN9&lt;2,"low risk",AND(EN9&lt;=5,EN9&gt;=2),"moderate risk")</f>
        <v>low risk</v>
      </c>
      <c r="EO12" t="str" cm="1">
        <f t="array" ref="EO12">_xlfn.IFS(EO9&gt;5,"high risk",EO9&lt;2,"low risk",AND(EO9&lt;=5,EO9&gt;=2),"moderate risk")</f>
        <v>high risk</v>
      </c>
      <c r="EP12" t="str" cm="1">
        <f t="array" ref="EP12">_xlfn.IFS(EP9&gt;5,"high risk",EP9&lt;2,"low risk",AND(EP9&lt;=5,EP9&gt;=2),"moderate risk")</f>
        <v>low risk</v>
      </c>
      <c r="EQ12" t="str" cm="1">
        <f t="array" ref="EQ12">_xlfn.IFS(EQ9&gt;5,"high risk",EQ9&lt;2,"low risk",AND(EQ9&lt;=5,EQ9&gt;=2),"moderate risk")</f>
        <v>low risk</v>
      </c>
      <c r="ER12" t="str" cm="1">
        <f t="array" ref="ER12">_xlfn.IFS(ER9&gt;5,"high risk",ER9&lt;2,"low risk",AND(ER9&lt;=5,ER9&gt;=2),"moderate risk")</f>
        <v>low risk</v>
      </c>
      <c r="ES12" t="str" cm="1">
        <f t="array" ref="ES12">_xlfn.IFS(ES9&gt;5,"high risk",ES9&lt;2,"low risk",AND(ES9&lt;=5,ES9&gt;=2),"moderate risk")</f>
        <v>moderate risk</v>
      </c>
      <c r="ET12" t="str" cm="1">
        <f t="array" ref="ET12">_xlfn.IFS(ET9&gt;5,"high risk",ET9&lt;2,"low risk",AND(ET9&lt;=5,ET9&gt;=2),"moderate risk")</f>
        <v>low risk</v>
      </c>
      <c r="EU12" t="str" cm="1">
        <f t="array" ref="EU12">_xlfn.IFS(EU9&gt;5,"high risk",EU9&lt;2,"low risk",AND(EU9&lt;=5,EU9&gt;=2),"moderate risk")</f>
        <v>moderate risk</v>
      </c>
      <c r="EV12" t="str" cm="1">
        <f t="array" ref="EV12">_xlfn.IFS(EV9&gt;5,"high risk",EV9&lt;2,"low risk",AND(EV9&lt;=5,EV9&gt;=2),"moderate risk")</f>
        <v>low risk</v>
      </c>
      <c r="EW12" t="str" cm="1">
        <f t="array" ref="EW12">_xlfn.IFS(EW9&gt;5,"high risk",EW9&lt;2,"low risk",AND(EW9&lt;=5,EW9&gt;=2),"moderate risk")</f>
        <v>low risk</v>
      </c>
      <c r="EX12" t="str" cm="1">
        <f t="array" ref="EX12">_xlfn.IFS(EX9&gt;5,"high risk",EX9&lt;2,"low risk",AND(EX9&lt;=5,EX9&gt;=2),"moderate risk")</f>
        <v>high risk</v>
      </c>
      <c r="EY12" t="str" cm="1">
        <f t="array" ref="EY12">_xlfn.IFS(EY9&gt;5,"high risk",EY9&lt;2,"low risk",AND(EY9&lt;=5,EY9&gt;=2),"moderate risk")</f>
        <v>moderate risk</v>
      </c>
      <c r="EZ12" t="str" cm="1">
        <f t="array" ref="EZ12">_xlfn.IFS(EZ9&gt;5,"high risk",EZ9&lt;2,"low risk",AND(EZ9&lt;=5,EZ9&gt;=2),"moderate risk")</f>
        <v>low risk</v>
      </c>
      <c r="FA12" t="str" cm="1">
        <f t="array" ref="FA12">_xlfn.IFS(FA9&gt;5,"high risk",FA9&lt;2,"low risk",AND(FA9&lt;=5,FA9&gt;=2),"moderate risk")</f>
        <v>moderate risk</v>
      </c>
      <c r="FB12" t="str" cm="1">
        <f t="array" ref="FB12">_xlfn.IFS(FB9&gt;5,"high risk",FB9&lt;2,"low risk",AND(FB9&lt;=5,FB9&gt;=2),"moderate risk")</f>
        <v>low risk</v>
      </c>
      <c r="FC12" t="str" cm="1">
        <f t="array" ref="FC12">_xlfn.IFS(FC9&gt;5,"high risk",FC9&lt;2,"low risk",AND(FC9&lt;=5,FC9&gt;=2),"moderate risk")</f>
        <v>high risk</v>
      </c>
      <c r="FD12" t="str" cm="1">
        <f t="array" ref="FD12">_xlfn.IFS(FD9&gt;5,"high risk",FD9&lt;2,"low risk",AND(FD9&lt;=5,FD9&gt;=2),"moderate risk")</f>
        <v>low risk</v>
      </c>
      <c r="FE12" t="str" cm="1">
        <f t="array" ref="FE12">_xlfn.IFS(FE9&gt;5,"high risk",FE9&lt;2,"low risk",AND(FE9&lt;=5,FE9&gt;=2),"moderate risk")</f>
        <v>high risk</v>
      </c>
      <c r="FF12" t="str" cm="1">
        <f t="array" ref="FF12">_xlfn.IFS(FF9&gt;5,"high risk",FF9&lt;2,"low risk",AND(FF9&lt;=5,FF9&gt;=2),"moderate risk")</f>
        <v>low risk</v>
      </c>
      <c r="FG12" t="str" cm="1">
        <f t="array" ref="FG12">_xlfn.IFS(FG9&gt;5,"high risk",FG9&lt;2,"low risk",AND(FG9&lt;=5,FG9&gt;=2),"moderate risk")</f>
        <v>high risk</v>
      </c>
      <c r="FH12" t="str" cm="1">
        <f t="array" ref="FH12">_xlfn.IFS(FH9&gt;5,"high risk",FH9&lt;2,"low risk",AND(FH9&lt;=5,FH9&gt;=2),"moderate risk")</f>
        <v>high risk</v>
      </c>
      <c r="FI12" t="str" cm="1">
        <f t="array" ref="FI12">_xlfn.IFS(FI9&gt;5,"high risk",FI9&lt;2,"low risk",AND(FI9&lt;=5,FI9&gt;=2),"moderate risk")</f>
        <v>high risk</v>
      </c>
      <c r="FJ12" t="str" cm="1">
        <f t="array" ref="FJ12">_xlfn.IFS(FJ9&gt;5,"high risk",FJ9&lt;2,"low risk",AND(FJ9&lt;=5,FJ9&gt;=2),"moderate risk")</f>
        <v>low risk</v>
      </c>
      <c r="FK12" t="str" cm="1">
        <f t="array" ref="FK12">_xlfn.IFS(FK9&gt;5,"high risk",FK9&lt;2,"low risk",AND(FK9&lt;=5,FK9&gt;=2),"moderate risk")</f>
        <v>low risk</v>
      </c>
      <c r="FL12" t="str" cm="1">
        <f t="array" ref="FL12">_xlfn.IFS(FL9&gt;5,"high risk",FL9&lt;2,"low risk",AND(FL9&lt;=5,FL9&gt;=2),"moderate risk")</f>
        <v>moderate risk</v>
      </c>
      <c r="FM12" t="str" cm="1">
        <f t="array" ref="FM12">_xlfn.IFS(FM9&gt;5,"high risk",FM9&lt;2,"low risk",AND(FM9&lt;=5,FM9&gt;=2),"moderate risk")</f>
        <v>low risk</v>
      </c>
      <c r="FN12" t="str" cm="1">
        <f t="array" ref="FN12">_xlfn.IFS(FN9&gt;5,"high risk",FN9&lt;2,"low risk",AND(FN9&lt;=5,FN9&gt;=2),"moderate risk")</f>
        <v>low risk</v>
      </c>
      <c r="FO12" t="str" cm="1">
        <f t="array" ref="FO12">_xlfn.IFS(FO9&gt;5,"high risk",FO9&lt;2,"low risk",AND(FO9&lt;=5,FO9&gt;=2),"moderate risk")</f>
        <v>moderate risk</v>
      </c>
      <c r="FP12" t="str" cm="1">
        <f t="array" ref="FP12">_xlfn.IFS(FP9&gt;5,"high risk",FP9&lt;2,"low risk",AND(FP9&lt;=5,FP9&gt;=2),"moderate risk")</f>
        <v>high risk</v>
      </c>
      <c r="FQ12" t="str" cm="1">
        <f t="array" ref="FQ12">_xlfn.IFS(FQ9&gt;5,"high risk",FQ9&lt;2,"low risk",AND(FQ9&lt;=5,FQ9&gt;=2),"moderate risk")</f>
        <v>moderate risk</v>
      </c>
      <c r="FR12" t="str" cm="1">
        <f t="array" ref="FR12">_xlfn.IFS(FR9&gt;5,"high risk",FR9&lt;2,"low risk",AND(FR9&lt;=5,FR9&gt;=2),"moderate risk")</f>
        <v>moderate risk</v>
      </c>
      <c r="FS12" t="str" cm="1">
        <f t="array" ref="FS12">_xlfn.IFS(FS9&gt;5,"high risk",FS9&lt;2,"low risk",AND(FS9&lt;=5,FS9&gt;=2),"moderate risk")</f>
        <v>moderate risk</v>
      </c>
      <c r="FT12" t="str" cm="1">
        <f t="array" ref="FT12">_xlfn.IFS(FT9&gt;5,"high risk",FT9&lt;2,"low risk",AND(FT9&lt;=5,FT9&gt;=2),"moderate risk")</f>
        <v>low risk</v>
      </c>
      <c r="FU12" t="str" cm="1">
        <f t="array" ref="FU12">_xlfn.IFS(FU9&gt;5,"high risk",FU9&lt;2,"low risk",AND(FU9&lt;=5,FU9&gt;=2),"moderate risk")</f>
        <v>moderate risk</v>
      </c>
      <c r="FV12" t="str" cm="1">
        <f t="array" ref="FV12">_xlfn.IFS(FV9&gt;5,"high risk",FV9&lt;2,"low risk",AND(FV9&lt;=5,FV9&gt;=2),"moderate risk")</f>
        <v>low risk</v>
      </c>
      <c r="FW12" t="str" cm="1">
        <f t="array" ref="FW12">_xlfn.IFS(FW9&gt;5,"high risk",FW9&lt;2,"low risk",AND(FW9&lt;=5,FW9&gt;=2),"moderate risk")</f>
        <v>high risk</v>
      </c>
      <c r="FX12" t="str" cm="1">
        <f t="array" ref="FX12">_xlfn.IFS(FX9&gt;5,"high risk",FX9&lt;2,"low risk",AND(FX9&lt;=5,FX9&gt;=2),"moderate risk")</f>
        <v>moderate risk</v>
      </c>
      <c r="FY12" t="str" cm="1">
        <f t="array" ref="FY12">_xlfn.IFS(FY9&gt;5,"high risk",FY9&lt;2,"low risk",AND(FY9&lt;=5,FY9&gt;=2),"moderate risk")</f>
        <v>low risk</v>
      </c>
      <c r="FZ12" t="str" cm="1">
        <f t="array" ref="FZ12">_xlfn.IFS(FZ9&gt;5,"high risk",FZ9&lt;2,"low risk",AND(FZ9&lt;=5,FZ9&gt;=2),"moderate risk")</f>
        <v>low risk</v>
      </c>
      <c r="GA12" t="str" cm="1">
        <f t="array" ref="GA12">_xlfn.IFS(GA9&gt;5,"high risk",GA9&lt;2,"low risk",AND(GA9&lt;=5,GA9&gt;=2),"moderate risk")</f>
        <v>low risk</v>
      </c>
      <c r="GB12" t="str" cm="1">
        <f t="array" ref="GB12">_xlfn.IFS(GB9&gt;5,"high risk",GB9&lt;2,"low risk",AND(GB9&lt;=5,GB9&gt;=2),"moderate risk")</f>
        <v>low risk</v>
      </c>
      <c r="GC12" t="str" cm="1">
        <f t="array" ref="GC12">_xlfn.IFS(GC9&gt;5,"high risk",GC9&lt;2,"low risk",AND(GC9&lt;=5,GC9&gt;=2),"moderate risk")</f>
        <v>high risk</v>
      </c>
      <c r="GD12" t="str" cm="1">
        <f t="array" ref="GD12">_xlfn.IFS(GD9&gt;5,"high risk",GD9&lt;2,"low risk",AND(GD9&lt;=5,GD9&gt;=2),"moderate risk")</f>
        <v>high risk</v>
      </c>
      <c r="GE12" t="str" cm="1">
        <f t="array" ref="GE12">_xlfn.IFS(GE9&gt;5,"high risk",GE9&lt;2,"low risk",AND(GE9&lt;=5,GE9&gt;=2),"moderate risk")</f>
        <v>moderate risk</v>
      </c>
      <c r="GF12" t="str" cm="1">
        <f t="array" ref="GF12">_xlfn.IFS(GF9&gt;5,"high risk",GF9&lt;2,"low risk",AND(GF9&lt;=5,GF9&gt;=2),"moderate risk")</f>
        <v>low risk</v>
      </c>
    </row>
    <row r="13" spans="1:188" x14ac:dyDescent="0.35">
      <c r="A13" s="23" t="s">
        <v>210</v>
      </c>
      <c r="B13" cm="1">
        <f t="array" ref="B13">_xlfn.IFS(B12="low risk",1,B12="moderate risk",2,B12="high risk",3)</f>
        <v>2</v>
      </c>
      <c r="C13" cm="1">
        <f t="array" ref="C13">_xlfn.IFS(C12="low risk",1,C12="moderate risk",2,C12="high risk",3)</f>
        <v>2</v>
      </c>
      <c r="D13" cm="1">
        <f t="array" ref="D13">_xlfn.IFS(D12="low risk",1,D12="moderate risk",2,D12="high risk",3)</f>
        <v>2</v>
      </c>
      <c r="E13" cm="1">
        <f t="array" ref="E13">_xlfn.IFS(E12="low risk",1,E12="moderate risk",2,E12="high risk",3)</f>
        <v>3</v>
      </c>
      <c r="F13" cm="1">
        <f t="array" ref="F13">_xlfn.IFS(F12="low risk",1,F12="moderate risk",2,F12="high risk",3)</f>
        <v>2</v>
      </c>
      <c r="G13" cm="1">
        <f t="array" ref="G13">_xlfn.IFS(G12="low risk",1,G12="moderate risk",2,G12="high risk",3)</f>
        <v>2</v>
      </c>
      <c r="H13" cm="1">
        <f t="array" ref="H13">_xlfn.IFS(H12="low risk",1,H12="moderate risk",2,H12="high risk",3)</f>
        <v>1</v>
      </c>
      <c r="I13" cm="1">
        <f t="array" ref="I13">_xlfn.IFS(I12="low risk",1,I12="moderate risk",2,I12="high risk",3)</f>
        <v>1</v>
      </c>
      <c r="J13" cm="1">
        <f t="array" ref="J13">_xlfn.IFS(J12="low risk",1,J12="moderate risk",2,J12="high risk",3)</f>
        <v>1</v>
      </c>
      <c r="K13" cm="1">
        <f t="array" ref="K13">_xlfn.IFS(K12="low risk",1,K12="moderate risk",2,K12="high risk",3)</f>
        <v>2</v>
      </c>
      <c r="L13" cm="1">
        <f t="array" ref="L13">_xlfn.IFS(L12="low risk",1,L12="moderate risk",2,L12="high risk",3)</f>
        <v>1</v>
      </c>
      <c r="M13" cm="1">
        <f t="array" ref="M13">_xlfn.IFS(M12="low risk",1,M12="moderate risk",2,M12="high risk",3)</f>
        <v>2</v>
      </c>
      <c r="N13" cm="1">
        <f t="array" ref="N13">_xlfn.IFS(N12="low risk",1,N12="moderate risk",2,N12="high risk",3)</f>
        <v>1</v>
      </c>
      <c r="O13" cm="1">
        <f t="array" ref="O13">_xlfn.IFS(O12="low risk",1,O12="moderate risk",2,O12="high risk",3)</f>
        <v>1</v>
      </c>
      <c r="P13" cm="1">
        <f t="array" ref="P13">_xlfn.IFS(P12="low risk",1,P12="moderate risk",2,P12="high risk",3)</f>
        <v>3</v>
      </c>
      <c r="Q13" cm="1">
        <f t="array" ref="Q13">_xlfn.IFS(Q12="low risk",1,Q12="moderate risk",2,Q12="high risk",3)</f>
        <v>1</v>
      </c>
      <c r="R13" cm="1">
        <f t="array" ref="R13">_xlfn.IFS(R12="low risk",1,R12="moderate risk",2,R12="high risk",3)</f>
        <v>3</v>
      </c>
      <c r="S13" cm="1">
        <f t="array" ref="S13">_xlfn.IFS(S12="low risk",1,S12="moderate risk",2,S12="high risk",3)</f>
        <v>2</v>
      </c>
      <c r="T13" cm="1">
        <f t="array" ref="T13">_xlfn.IFS(T12="low risk",1,T12="moderate risk",2,T12="high risk",3)</f>
        <v>1</v>
      </c>
      <c r="U13" cm="1">
        <f t="array" ref="U13">_xlfn.IFS(U12="low risk",1,U12="moderate risk",2,U12="high risk",3)</f>
        <v>1</v>
      </c>
      <c r="V13" cm="1">
        <f t="array" ref="V13">_xlfn.IFS(V12="low risk",1,V12="moderate risk",2,V12="high risk",3)</f>
        <v>2</v>
      </c>
      <c r="W13" cm="1">
        <f t="array" ref="W13">_xlfn.IFS(W12="low risk",1,W12="moderate risk",2,W12="high risk",3)</f>
        <v>2</v>
      </c>
      <c r="X13" cm="1">
        <f t="array" ref="X13">_xlfn.IFS(X12="low risk",1,X12="moderate risk",2,X12="high risk",3)</f>
        <v>1</v>
      </c>
      <c r="Y13" cm="1">
        <f t="array" ref="Y13">_xlfn.IFS(Y12="low risk",1,Y12="moderate risk",2,Y12="high risk",3)</f>
        <v>2</v>
      </c>
      <c r="Z13" cm="1">
        <f t="array" ref="Z13">_xlfn.IFS(Z12="low risk",1,Z12="moderate risk",2,Z12="high risk",3)</f>
        <v>2</v>
      </c>
      <c r="AA13" cm="1">
        <f t="array" ref="AA13">_xlfn.IFS(AA12="low risk",1,AA12="moderate risk",2,AA12="high risk",3)</f>
        <v>2</v>
      </c>
      <c r="AB13" cm="1">
        <f t="array" ref="AB13">_xlfn.IFS(AB12="low risk",1,AB12="moderate risk",2,AB12="high risk",3)</f>
        <v>2</v>
      </c>
      <c r="AC13" cm="1">
        <f t="array" ref="AC13">_xlfn.IFS(AC12="low risk",1,AC12="moderate risk",2,AC12="high risk",3)</f>
        <v>1</v>
      </c>
      <c r="AD13" cm="1">
        <f t="array" ref="AD13">_xlfn.IFS(AD12="low risk",1,AD12="moderate risk",2,AD12="high risk",3)</f>
        <v>1</v>
      </c>
      <c r="AE13" cm="1">
        <f t="array" ref="AE13">_xlfn.IFS(AE12="low risk",1,AE12="moderate risk",2,AE12="high risk",3)</f>
        <v>1</v>
      </c>
      <c r="AF13" cm="1">
        <f t="array" ref="AF13">_xlfn.IFS(AF12="low risk",1,AF12="moderate risk",2,AF12="high risk",3)</f>
        <v>1</v>
      </c>
      <c r="AG13" cm="1">
        <f t="array" ref="AG13">_xlfn.IFS(AG12="low risk",1,AG12="moderate risk",2,AG12="high risk",3)</f>
        <v>2</v>
      </c>
      <c r="AH13" cm="1">
        <f t="array" ref="AH13">_xlfn.IFS(AH12="low risk",1,AH12="moderate risk",2,AH12="high risk",3)</f>
        <v>3</v>
      </c>
      <c r="AI13" cm="1">
        <f t="array" ref="AI13">_xlfn.IFS(AI12="low risk",1,AI12="moderate risk",2,AI12="high risk",3)</f>
        <v>1</v>
      </c>
      <c r="AJ13" cm="1">
        <f t="array" ref="AJ13">_xlfn.IFS(AJ12="low risk",1,AJ12="moderate risk",2,AJ12="high risk",3)</f>
        <v>3</v>
      </c>
      <c r="AK13" cm="1">
        <f t="array" ref="AK13">_xlfn.IFS(AK12="low risk",1,AK12="moderate risk",2,AK12="high risk",3)</f>
        <v>2</v>
      </c>
      <c r="AL13" cm="1">
        <f t="array" ref="AL13">_xlfn.IFS(AL12="low risk",1,AL12="moderate risk",2,AL12="high risk",3)</f>
        <v>3</v>
      </c>
      <c r="AM13" cm="1">
        <f t="array" ref="AM13">_xlfn.IFS(AM12="low risk",1,AM12="moderate risk",2,AM12="high risk",3)</f>
        <v>2</v>
      </c>
      <c r="AN13" cm="1">
        <f t="array" ref="AN13">_xlfn.IFS(AN12="low risk",1,AN12="moderate risk",2,AN12="high risk",3)</f>
        <v>1</v>
      </c>
      <c r="AO13" cm="1">
        <f t="array" ref="AO13">_xlfn.IFS(AO12="low risk",1,AO12="moderate risk",2,AO12="high risk",3)</f>
        <v>1</v>
      </c>
      <c r="AP13" cm="1">
        <f t="array" ref="AP13">_xlfn.IFS(AP12="low risk",1,AP12="moderate risk",2,AP12="high risk",3)</f>
        <v>2</v>
      </c>
      <c r="AQ13" cm="1">
        <f t="array" ref="AQ13">_xlfn.IFS(AQ12="low risk",1,AQ12="moderate risk",2,AQ12="high risk",3)</f>
        <v>1</v>
      </c>
      <c r="AR13" cm="1">
        <f t="array" ref="AR13">_xlfn.IFS(AR12="low risk",1,AR12="moderate risk",2,AR12="high risk",3)</f>
        <v>1</v>
      </c>
      <c r="AS13" cm="1">
        <f t="array" ref="AS13">_xlfn.IFS(AS12="low risk",1,AS12="moderate risk",2,AS12="high risk",3)</f>
        <v>2</v>
      </c>
      <c r="AT13" cm="1">
        <f t="array" ref="AT13">_xlfn.IFS(AT12="low risk",1,AT12="moderate risk",2,AT12="high risk",3)</f>
        <v>2</v>
      </c>
      <c r="AU13" cm="1">
        <f t="array" ref="AU13">_xlfn.IFS(AU12="low risk",1,AU12="moderate risk",2,AU12="high risk",3)</f>
        <v>1</v>
      </c>
      <c r="AV13" cm="1">
        <f t="array" ref="AV13">_xlfn.IFS(AV12="low risk",1,AV12="moderate risk",2,AV12="high risk",3)</f>
        <v>2</v>
      </c>
      <c r="AW13" cm="1">
        <f t="array" ref="AW13">_xlfn.IFS(AW12="low risk",1,AW12="moderate risk",2,AW12="high risk",3)</f>
        <v>2</v>
      </c>
      <c r="AX13" cm="1">
        <f t="array" ref="AX13">_xlfn.IFS(AX12="low risk",1,AX12="moderate risk",2,AX12="high risk",3)</f>
        <v>1</v>
      </c>
      <c r="AY13" cm="1">
        <f t="array" ref="AY13">_xlfn.IFS(AY12="low risk",1,AY12="moderate risk",2,AY12="high risk",3)</f>
        <v>1</v>
      </c>
      <c r="AZ13" cm="1">
        <f t="array" ref="AZ13">_xlfn.IFS(AZ12="low risk",1,AZ12="moderate risk",2,AZ12="high risk",3)</f>
        <v>1</v>
      </c>
      <c r="BA13" cm="1">
        <f t="array" ref="BA13">_xlfn.IFS(BA12="low risk",1,BA12="moderate risk",2,BA12="high risk",3)</f>
        <v>3</v>
      </c>
      <c r="BB13" cm="1">
        <f t="array" ref="BB13">_xlfn.IFS(BB12="low risk",1,BB12="moderate risk",2,BB12="high risk",3)</f>
        <v>3</v>
      </c>
      <c r="BC13" cm="1">
        <f t="array" ref="BC13">_xlfn.IFS(BC12="low risk",1,BC12="moderate risk",2,BC12="high risk",3)</f>
        <v>2</v>
      </c>
      <c r="BD13" cm="1">
        <f t="array" ref="BD13">_xlfn.IFS(BD12="low risk",1,BD12="moderate risk",2,BD12="high risk",3)</f>
        <v>1</v>
      </c>
      <c r="BE13" cm="1">
        <f t="array" ref="BE13">_xlfn.IFS(BE12="low risk",1,BE12="moderate risk",2,BE12="high risk",3)</f>
        <v>1</v>
      </c>
      <c r="BF13" cm="1">
        <f t="array" ref="BF13">_xlfn.IFS(BF12="low risk",1,BF12="moderate risk",2,BF12="high risk",3)</f>
        <v>2</v>
      </c>
      <c r="BG13" cm="1">
        <f t="array" ref="BG13">_xlfn.IFS(BG12="low risk",1,BG12="moderate risk",2,BG12="high risk",3)</f>
        <v>1</v>
      </c>
      <c r="BH13" cm="1">
        <f t="array" ref="BH13">_xlfn.IFS(BH12="low risk",1,BH12="moderate risk",2,BH12="high risk",3)</f>
        <v>1</v>
      </c>
      <c r="BI13" cm="1">
        <f t="array" ref="BI13">_xlfn.IFS(BI12="low risk",1,BI12="moderate risk",2,BI12="high risk",3)</f>
        <v>1</v>
      </c>
      <c r="BJ13" cm="1">
        <f t="array" ref="BJ13">_xlfn.IFS(BJ12="low risk",1,BJ12="moderate risk",2,BJ12="high risk",3)</f>
        <v>2</v>
      </c>
      <c r="BK13" cm="1">
        <f t="array" ref="BK13">_xlfn.IFS(BK12="low risk",1,BK12="moderate risk",2,BK12="high risk",3)</f>
        <v>3</v>
      </c>
      <c r="BL13" cm="1">
        <f t="array" ref="BL13">_xlfn.IFS(BL12="low risk",1,BL12="moderate risk",2,BL12="high risk",3)</f>
        <v>1</v>
      </c>
      <c r="BM13" cm="1">
        <f t="array" ref="BM13">_xlfn.IFS(BM12="low risk",1,BM12="moderate risk",2,BM12="high risk",3)</f>
        <v>2</v>
      </c>
      <c r="BN13" cm="1">
        <f t="array" ref="BN13">_xlfn.IFS(BN12="low risk",1,BN12="moderate risk",2,BN12="high risk",3)</f>
        <v>1</v>
      </c>
      <c r="BO13" cm="1">
        <f t="array" ref="BO13">_xlfn.IFS(BO12="low risk",1,BO12="moderate risk",2,BO12="high risk",3)</f>
        <v>2</v>
      </c>
      <c r="BP13" cm="1">
        <f t="array" ref="BP13">_xlfn.IFS(BP12="low risk",1,BP12="moderate risk",2,BP12="high risk",3)</f>
        <v>1</v>
      </c>
      <c r="BQ13" cm="1">
        <f t="array" ref="BQ13">_xlfn.IFS(BQ12="low risk",1,BQ12="moderate risk",2,BQ12="high risk",3)</f>
        <v>2</v>
      </c>
      <c r="BR13" cm="1">
        <f t="array" ref="BR13">_xlfn.IFS(BR12="low risk",1,BR12="moderate risk",2,BR12="high risk",3)</f>
        <v>1</v>
      </c>
      <c r="BS13" cm="1">
        <f t="array" ref="BS13">_xlfn.IFS(BS12="low risk",1,BS12="moderate risk",2,BS12="high risk",3)</f>
        <v>1</v>
      </c>
      <c r="BT13" cm="1">
        <f t="array" ref="BT13">_xlfn.IFS(BT12="low risk",1,BT12="moderate risk",2,BT12="high risk",3)</f>
        <v>2</v>
      </c>
      <c r="BU13" cm="1">
        <f t="array" ref="BU13">_xlfn.IFS(BU12="low risk",1,BU12="moderate risk",2,BU12="high risk",3)</f>
        <v>1</v>
      </c>
      <c r="BV13" cm="1">
        <f t="array" ref="BV13">_xlfn.IFS(BV12="low risk",1,BV12="moderate risk",2,BV12="high risk",3)</f>
        <v>1</v>
      </c>
      <c r="BW13" cm="1">
        <f t="array" ref="BW13">_xlfn.IFS(BW12="low risk",1,BW12="moderate risk",2,BW12="high risk",3)</f>
        <v>3</v>
      </c>
      <c r="BX13" cm="1">
        <f t="array" ref="BX13">_xlfn.IFS(BX12="low risk",1,BX12="moderate risk",2,BX12="high risk",3)</f>
        <v>2</v>
      </c>
      <c r="BY13" cm="1">
        <f t="array" ref="BY13">_xlfn.IFS(BY12="low risk",1,BY12="moderate risk",2,BY12="high risk",3)</f>
        <v>1</v>
      </c>
      <c r="BZ13" cm="1">
        <f t="array" ref="BZ13">_xlfn.IFS(BZ12="low risk",1,BZ12="moderate risk",2,BZ12="high risk",3)</f>
        <v>2</v>
      </c>
      <c r="CA13" cm="1">
        <f t="array" ref="CA13">_xlfn.IFS(CA12="low risk",1,CA12="moderate risk",2,CA12="high risk",3)</f>
        <v>3</v>
      </c>
      <c r="CB13" cm="1">
        <f t="array" ref="CB13">_xlfn.IFS(CB12="low risk",1,CB12="moderate risk",2,CB12="high risk",3)</f>
        <v>1</v>
      </c>
      <c r="CC13" cm="1">
        <f t="array" ref="CC13">_xlfn.IFS(CC12="low risk",1,CC12="moderate risk",2,CC12="high risk",3)</f>
        <v>2</v>
      </c>
      <c r="CD13" cm="1">
        <f t="array" ref="CD13">_xlfn.IFS(CD12="low risk",1,CD12="moderate risk",2,CD12="high risk",3)</f>
        <v>2</v>
      </c>
      <c r="CE13" cm="1">
        <f t="array" ref="CE13">_xlfn.IFS(CE12="low risk",1,CE12="moderate risk",2,CE12="high risk",3)</f>
        <v>3</v>
      </c>
      <c r="CF13" cm="1">
        <f t="array" ref="CF13">_xlfn.IFS(CF12="low risk",1,CF12="moderate risk",2,CF12="high risk",3)</f>
        <v>2</v>
      </c>
      <c r="CG13" cm="1">
        <f t="array" ref="CG13">_xlfn.IFS(CG12="low risk",1,CG12="moderate risk",2,CG12="high risk",3)</f>
        <v>3</v>
      </c>
      <c r="CH13" cm="1">
        <f t="array" ref="CH13">_xlfn.IFS(CH12="low risk",1,CH12="moderate risk",2,CH12="high risk",3)</f>
        <v>1</v>
      </c>
      <c r="CI13" cm="1">
        <f t="array" ref="CI13">_xlfn.IFS(CI12="low risk",1,CI12="moderate risk",2,CI12="high risk",3)</f>
        <v>3</v>
      </c>
      <c r="CJ13" cm="1">
        <f t="array" ref="CJ13">_xlfn.IFS(CJ12="low risk",1,CJ12="moderate risk",2,CJ12="high risk",3)</f>
        <v>1</v>
      </c>
      <c r="CK13" cm="1">
        <f t="array" ref="CK13">_xlfn.IFS(CK12="low risk",1,CK12="moderate risk",2,CK12="high risk",3)</f>
        <v>2</v>
      </c>
      <c r="CL13" cm="1">
        <f t="array" ref="CL13">_xlfn.IFS(CL12="low risk",1,CL12="moderate risk",2,CL12="high risk",3)</f>
        <v>1</v>
      </c>
      <c r="CM13" cm="1">
        <f t="array" ref="CM13">_xlfn.IFS(CM12="low risk",1,CM12="moderate risk",2,CM12="high risk",3)</f>
        <v>1</v>
      </c>
      <c r="CN13" cm="1">
        <f t="array" ref="CN13">_xlfn.IFS(CN12="low risk",1,CN12="moderate risk",2,CN12="high risk",3)</f>
        <v>1</v>
      </c>
      <c r="CO13" cm="1">
        <f t="array" ref="CO13">_xlfn.IFS(CO12="low risk",1,CO12="moderate risk",2,CO12="high risk",3)</f>
        <v>2</v>
      </c>
      <c r="CP13" cm="1">
        <f t="array" ref="CP13">_xlfn.IFS(CP12="low risk",1,CP12="moderate risk",2,CP12="high risk",3)</f>
        <v>1</v>
      </c>
      <c r="CQ13" cm="1">
        <f t="array" ref="CQ13">_xlfn.IFS(CQ12="low risk",1,CQ12="moderate risk",2,CQ12="high risk",3)</f>
        <v>2</v>
      </c>
      <c r="CR13" cm="1">
        <f t="array" ref="CR13">_xlfn.IFS(CR12="low risk",1,CR12="moderate risk",2,CR12="high risk",3)</f>
        <v>1</v>
      </c>
      <c r="CS13" cm="1">
        <f t="array" ref="CS13">_xlfn.IFS(CS12="low risk",1,CS12="moderate risk",2,CS12="high risk",3)</f>
        <v>2</v>
      </c>
      <c r="CT13" cm="1">
        <f t="array" ref="CT13">_xlfn.IFS(CT12="low risk",1,CT12="moderate risk",2,CT12="high risk",3)</f>
        <v>1</v>
      </c>
      <c r="CU13" cm="1">
        <f t="array" ref="CU13">_xlfn.IFS(CU12="low risk",1,CU12="moderate risk",2,CU12="high risk",3)</f>
        <v>2</v>
      </c>
      <c r="CV13" cm="1">
        <f t="array" ref="CV13">_xlfn.IFS(CV12="low risk",1,CV12="moderate risk",2,CV12="high risk",3)</f>
        <v>3</v>
      </c>
      <c r="CW13" cm="1">
        <f t="array" ref="CW13">_xlfn.IFS(CW12="low risk",1,CW12="moderate risk",2,CW12="high risk",3)</f>
        <v>2</v>
      </c>
      <c r="CX13" cm="1">
        <f t="array" ref="CX13">_xlfn.IFS(CX12="low risk",1,CX12="moderate risk",2,CX12="high risk",3)</f>
        <v>1</v>
      </c>
      <c r="CY13" cm="1">
        <f t="array" ref="CY13">_xlfn.IFS(CY12="low risk",1,CY12="moderate risk",2,CY12="high risk",3)</f>
        <v>2</v>
      </c>
      <c r="CZ13" cm="1">
        <f t="array" ref="CZ13">_xlfn.IFS(CZ12="low risk",1,CZ12="moderate risk",2,CZ12="high risk",3)</f>
        <v>1</v>
      </c>
      <c r="DA13" cm="1">
        <f t="array" ref="DA13">_xlfn.IFS(DA12="low risk",1,DA12="moderate risk",2,DA12="high risk",3)</f>
        <v>1</v>
      </c>
      <c r="DB13" cm="1">
        <f t="array" ref="DB13">_xlfn.IFS(DB12="low risk",1,DB12="moderate risk",2,DB12="high risk",3)</f>
        <v>2</v>
      </c>
      <c r="DC13" cm="1">
        <f t="array" ref="DC13">_xlfn.IFS(DC12="low risk",1,DC12="moderate risk",2,DC12="high risk",3)</f>
        <v>1</v>
      </c>
      <c r="DD13" cm="1">
        <f t="array" ref="DD13">_xlfn.IFS(DD12="low risk",1,DD12="moderate risk",2,DD12="high risk",3)</f>
        <v>1</v>
      </c>
      <c r="DE13" cm="1">
        <f t="array" ref="DE13">_xlfn.IFS(DE12="low risk",1,DE12="moderate risk",2,DE12="high risk",3)</f>
        <v>2</v>
      </c>
      <c r="DF13" cm="1">
        <f t="array" ref="DF13">_xlfn.IFS(DF12="low risk",1,DF12="moderate risk",2,DF12="high risk",3)</f>
        <v>1</v>
      </c>
      <c r="DG13" cm="1">
        <f t="array" ref="DG13">_xlfn.IFS(DG12="low risk",1,DG12="moderate risk",2,DG12="high risk",3)</f>
        <v>2</v>
      </c>
      <c r="DH13" cm="1">
        <f t="array" ref="DH13">_xlfn.IFS(DH12="low risk",1,DH12="moderate risk",2,DH12="high risk",3)</f>
        <v>2</v>
      </c>
      <c r="DI13" cm="1">
        <f t="array" ref="DI13">_xlfn.IFS(DI12="low risk",1,DI12="moderate risk",2,DI12="high risk",3)</f>
        <v>3</v>
      </c>
      <c r="DJ13" cm="1">
        <f t="array" ref="DJ13">_xlfn.IFS(DJ12="low risk",1,DJ12="moderate risk",2,DJ12="high risk",3)</f>
        <v>2</v>
      </c>
      <c r="DK13" cm="1">
        <f t="array" ref="DK13">_xlfn.IFS(DK12="low risk",1,DK12="moderate risk",2,DK12="high risk",3)</f>
        <v>2</v>
      </c>
      <c r="DL13" cm="1">
        <f t="array" ref="DL13">_xlfn.IFS(DL12="low risk",1,DL12="moderate risk",2,DL12="high risk",3)</f>
        <v>1</v>
      </c>
      <c r="DM13" cm="1">
        <f t="array" ref="DM13">_xlfn.IFS(DM12="low risk",1,DM12="moderate risk",2,DM12="high risk",3)</f>
        <v>1</v>
      </c>
      <c r="DN13" cm="1">
        <f t="array" ref="DN13">_xlfn.IFS(DN12="low risk",1,DN12="moderate risk",2,DN12="high risk",3)</f>
        <v>1</v>
      </c>
      <c r="DO13" cm="1">
        <f t="array" ref="DO13">_xlfn.IFS(DO12="low risk",1,DO12="moderate risk",2,DO12="high risk",3)</f>
        <v>1</v>
      </c>
      <c r="DP13" cm="1">
        <f t="array" ref="DP13">_xlfn.IFS(DP12="low risk",1,DP12="moderate risk",2,DP12="high risk",3)</f>
        <v>1</v>
      </c>
      <c r="DQ13" cm="1">
        <f t="array" ref="DQ13">_xlfn.IFS(DQ12="low risk",1,DQ12="moderate risk",2,DQ12="high risk",3)</f>
        <v>1</v>
      </c>
      <c r="DR13" cm="1">
        <f t="array" ref="DR13">_xlfn.IFS(DR12="low risk",1,DR12="moderate risk",2,DR12="high risk",3)</f>
        <v>3</v>
      </c>
      <c r="DS13" cm="1">
        <f t="array" ref="DS13">_xlfn.IFS(DS12="low risk",1,DS12="moderate risk",2,DS12="high risk",3)</f>
        <v>1</v>
      </c>
      <c r="DT13" cm="1">
        <f t="array" ref="DT13">_xlfn.IFS(DT12="low risk",1,DT12="moderate risk",2,DT12="high risk",3)</f>
        <v>2</v>
      </c>
      <c r="DU13" cm="1">
        <f t="array" ref="DU13">_xlfn.IFS(DU12="low risk",1,DU12="moderate risk",2,DU12="high risk",3)</f>
        <v>3</v>
      </c>
      <c r="DV13" cm="1">
        <f t="array" ref="DV13">_xlfn.IFS(DV12="low risk",1,DV12="moderate risk",2,DV12="high risk",3)</f>
        <v>2</v>
      </c>
      <c r="DW13" cm="1">
        <f t="array" ref="DW13">_xlfn.IFS(DW12="low risk",1,DW12="moderate risk",2,DW12="high risk",3)</f>
        <v>2</v>
      </c>
      <c r="DX13" cm="1">
        <f t="array" ref="DX13">_xlfn.IFS(DX12="low risk",1,DX12="moderate risk",2,DX12="high risk",3)</f>
        <v>2</v>
      </c>
      <c r="DY13" cm="1">
        <f t="array" ref="DY13">_xlfn.IFS(DY12="low risk",1,DY12="moderate risk",2,DY12="high risk",3)</f>
        <v>1</v>
      </c>
      <c r="DZ13" cm="1">
        <f t="array" ref="DZ13">_xlfn.IFS(DZ12="low risk",1,DZ12="moderate risk",2,DZ12="high risk",3)</f>
        <v>2</v>
      </c>
      <c r="EA13" cm="1">
        <f t="array" ref="EA13">_xlfn.IFS(EA12="low risk",1,EA12="moderate risk",2,EA12="high risk",3)</f>
        <v>2</v>
      </c>
      <c r="EB13" cm="1">
        <f t="array" ref="EB13">_xlfn.IFS(EB12="low risk",1,EB12="moderate risk",2,EB12="high risk",3)</f>
        <v>1</v>
      </c>
      <c r="EC13" cm="1">
        <f t="array" ref="EC13">_xlfn.IFS(EC12="low risk",1,EC12="moderate risk",2,EC12="high risk",3)</f>
        <v>1</v>
      </c>
      <c r="ED13" cm="1">
        <f t="array" ref="ED13">_xlfn.IFS(ED12="low risk",1,ED12="moderate risk",2,ED12="high risk",3)</f>
        <v>2</v>
      </c>
      <c r="EE13" cm="1">
        <f t="array" ref="EE13">_xlfn.IFS(EE12="low risk",1,EE12="moderate risk",2,EE12="high risk",3)</f>
        <v>2</v>
      </c>
      <c r="EF13" cm="1">
        <f t="array" ref="EF13">_xlfn.IFS(EF12="low risk",1,EF12="moderate risk",2,EF12="high risk",3)</f>
        <v>2</v>
      </c>
      <c r="EG13" cm="1">
        <f t="array" ref="EG13">_xlfn.IFS(EG12="low risk",1,EG12="moderate risk",2,EG12="high risk",3)</f>
        <v>2</v>
      </c>
      <c r="EH13" cm="1">
        <f t="array" ref="EH13">_xlfn.IFS(EH12="low risk",1,EH12="moderate risk",2,EH12="high risk",3)</f>
        <v>1</v>
      </c>
      <c r="EI13" cm="1">
        <f t="array" ref="EI13">_xlfn.IFS(EI12="low risk",1,EI12="moderate risk",2,EI12="high risk",3)</f>
        <v>2</v>
      </c>
      <c r="EJ13" cm="1">
        <f t="array" ref="EJ13">_xlfn.IFS(EJ12="low risk",1,EJ12="moderate risk",2,EJ12="high risk",3)</f>
        <v>1</v>
      </c>
      <c r="EK13" cm="1">
        <f t="array" ref="EK13">_xlfn.IFS(EK12="low risk",1,EK12="moderate risk",2,EK12="high risk",3)</f>
        <v>1</v>
      </c>
      <c r="EL13" cm="1">
        <f t="array" ref="EL13">_xlfn.IFS(EL12="low risk",1,EL12="moderate risk",2,EL12="high risk",3)</f>
        <v>1</v>
      </c>
      <c r="EM13" cm="1">
        <f t="array" ref="EM13">_xlfn.IFS(EM12="low risk",1,EM12="moderate risk",2,EM12="high risk",3)</f>
        <v>1</v>
      </c>
      <c r="EN13" cm="1">
        <f t="array" ref="EN13">_xlfn.IFS(EN12="low risk",1,EN12="moderate risk",2,EN12="high risk",3)</f>
        <v>1</v>
      </c>
      <c r="EO13" cm="1">
        <f t="array" ref="EO13">_xlfn.IFS(EO12="low risk",1,EO12="moderate risk",2,EO12="high risk",3)</f>
        <v>3</v>
      </c>
      <c r="EP13" cm="1">
        <f t="array" ref="EP13">_xlfn.IFS(EP12="low risk",1,EP12="moderate risk",2,EP12="high risk",3)</f>
        <v>1</v>
      </c>
      <c r="EQ13" cm="1">
        <f t="array" ref="EQ13">_xlfn.IFS(EQ12="low risk",1,EQ12="moderate risk",2,EQ12="high risk",3)</f>
        <v>1</v>
      </c>
      <c r="ER13" cm="1">
        <f t="array" ref="ER13">_xlfn.IFS(ER12="low risk",1,ER12="moderate risk",2,ER12="high risk",3)</f>
        <v>1</v>
      </c>
      <c r="ES13" cm="1">
        <f t="array" ref="ES13">_xlfn.IFS(ES12="low risk",1,ES12="moderate risk",2,ES12="high risk",3)</f>
        <v>2</v>
      </c>
      <c r="ET13" cm="1">
        <f t="array" ref="ET13">_xlfn.IFS(ET12="low risk",1,ET12="moderate risk",2,ET12="high risk",3)</f>
        <v>1</v>
      </c>
      <c r="EU13" cm="1">
        <f t="array" ref="EU13">_xlfn.IFS(EU12="low risk",1,EU12="moderate risk",2,EU12="high risk",3)</f>
        <v>2</v>
      </c>
      <c r="EV13" cm="1">
        <f t="array" ref="EV13">_xlfn.IFS(EV12="low risk",1,EV12="moderate risk",2,EV12="high risk",3)</f>
        <v>1</v>
      </c>
      <c r="EW13" cm="1">
        <f t="array" ref="EW13">_xlfn.IFS(EW12="low risk",1,EW12="moderate risk",2,EW12="high risk",3)</f>
        <v>1</v>
      </c>
      <c r="EX13" cm="1">
        <f t="array" ref="EX13">_xlfn.IFS(EX12="low risk",1,EX12="moderate risk",2,EX12="high risk",3)</f>
        <v>3</v>
      </c>
      <c r="EY13" cm="1">
        <f t="array" ref="EY13">_xlfn.IFS(EY12="low risk",1,EY12="moderate risk",2,EY12="high risk",3)</f>
        <v>2</v>
      </c>
      <c r="EZ13" cm="1">
        <f t="array" ref="EZ13">_xlfn.IFS(EZ12="low risk",1,EZ12="moderate risk",2,EZ12="high risk",3)</f>
        <v>1</v>
      </c>
      <c r="FA13" cm="1">
        <f t="array" ref="FA13">_xlfn.IFS(FA12="low risk",1,FA12="moderate risk",2,FA12="high risk",3)</f>
        <v>2</v>
      </c>
      <c r="FB13" cm="1">
        <f t="array" ref="FB13">_xlfn.IFS(FB12="low risk",1,FB12="moderate risk",2,FB12="high risk",3)</f>
        <v>1</v>
      </c>
      <c r="FC13" cm="1">
        <f t="array" ref="FC13">_xlfn.IFS(FC12="low risk",1,FC12="moderate risk",2,FC12="high risk",3)</f>
        <v>3</v>
      </c>
      <c r="FD13" cm="1">
        <f t="array" ref="FD13">_xlfn.IFS(FD12="low risk",1,FD12="moderate risk",2,FD12="high risk",3)</f>
        <v>1</v>
      </c>
      <c r="FE13" cm="1">
        <f t="array" ref="FE13">_xlfn.IFS(FE12="low risk",1,FE12="moderate risk",2,FE12="high risk",3)</f>
        <v>3</v>
      </c>
      <c r="FF13" cm="1">
        <f t="array" ref="FF13">_xlfn.IFS(FF12="low risk",1,FF12="moderate risk",2,FF12="high risk",3)</f>
        <v>1</v>
      </c>
      <c r="FG13" cm="1">
        <f t="array" ref="FG13">_xlfn.IFS(FG12="low risk",1,FG12="moderate risk",2,FG12="high risk",3)</f>
        <v>3</v>
      </c>
      <c r="FH13" cm="1">
        <f t="array" ref="FH13">_xlfn.IFS(FH12="low risk",1,FH12="moderate risk",2,FH12="high risk",3)</f>
        <v>3</v>
      </c>
      <c r="FI13" cm="1">
        <f t="array" ref="FI13">_xlfn.IFS(FI12="low risk",1,FI12="moderate risk",2,FI12="high risk",3)</f>
        <v>3</v>
      </c>
      <c r="FJ13" cm="1">
        <f t="array" ref="FJ13">_xlfn.IFS(FJ12="low risk",1,FJ12="moderate risk",2,FJ12="high risk",3)</f>
        <v>1</v>
      </c>
      <c r="FK13" cm="1">
        <f t="array" ref="FK13">_xlfn.IFS(FK12="low risk",1,FK12="moderate risk",2,FK12="high risk",3)</f>
        <v>1</v>
      </c>
      <c r="FL13" cm="1">
        <f t="array" ref="FL13">_xlfn.IFS(FL12="low risk",1,FL12="moderate risk",2,FL12="high risk",3)</f>
        <v>2</v>
      </c>
      <c r="FM13" cm="1">
        <f t="array" ref="FM13">_xlfn.IFS(FM12="low risk",1,FM12="moderate risk",2,FM12="high risk",3)</f>
        <v>1</v>
      </c>
      <c r="FN13" cm="1">
        <f t="array" ref="FN13">_xlfn.IFS(FN12="low risk",1,FN12="moderate risk",2,FN12="high risk",3)</f>
        <v>1</v>
      </c>
      <c r="FO13" cm="1">
        <f t="array" ref="FO13">_xlfn.IFS(FO12="low risk",1,FO12="moderate risk",2,FO12="high risk",3)</f>
        <v>2</v>
      </c>
      <c r="FP13" cm="1">
        <f t="array" ref="FP13">_xlfn.IFS(FP12="low risk",1,FP12="moderate risk",2,FP12="high risk",3)</f>
        <v>3</v>
      </c>
      <c r="FQ13" cm="1">
        <f t="array" ref="FQ13">_xlfn.IFS(FQ12="low risk",1,FQ12="moderate risk",2,FQ12="high risk",3)</f>
        <v>2</v>
      </c>
      <c r="FR13" cm="1">
        <f t="array" ref="FR13">_xlfn.IFS(FR12="low risk",1,FR12="moderate risk",2,FR12="high risk",3)</f>
        <v>2</v>
      </c>
      <c r="FS13" cm="1">
        <f t="array" ref="FS13">_xlfn.IFS(FS12="low risk",1,FS12="moderate risk",2,FS12="high risk",3)</f>
        <v>2</v>
      </c>
      <c r="FT13" cm="1">
        <f t="array" ref="FT13">_xlfn.IFS(FT12="low risk",1,FT12="moderate risk",2,FT12="high risk",3)</f>
        <v>1</v>
      </c>
      <c r="FU13" cm="1">
        <f t="array" ref="FU13">_xlfn.IFS(FU12="low risk",1,FU12="moderate risk",2,FU12="high risk",3)</f>
        <v>2</v>
      </c>
      <c r="FV13" cm="1">
        <f t="array" ref="FV13">_xlfn.IFS(FV12="low risk",1,FV12="moderate risk",2,FV12="high risk",3)</f>
        <v>1</v>
      </c>
      <c r="FW13" cm="1">
        <f t="array" ref="FW13">_xlfn.IFS(FW12="low risk",1,FW12="moderate risk",2,FW12="high risk",3)</f>
        <v>3</v>
      </c>
      <c r="FX13" cm="1">
        <f t="array" ref="FX13">_xlfn.IFS(FX12="low risk",1,FX12="moderate risk",2,FX12="high risk",3)</f>
        <v>2</v>
      </c>
      <c r="FY13" cm="1">
        <f t="array" ref="FY13">_xlfn.IFS(FY12="low risk",1,FY12="moderate risk",2,FY12="high risk",3)</f>
        <v>1</v>
      </c>
      <c r="FZ13" cm="1">
        <f t="array" ref="FZ13">_xlfn.IFS(FZ12="low risk",1,FZ12="moderate risk",2,FZ12="high risk",3)</f>
        <v>1</v>
      </c>
      <c r="GA13" cm="1">
        <f t="array" ref="GA13">_xlfn.IFS(GA12="low risk",1,GA12="moderate risk",2,GA12="high risk",3)</f>
        <v>1</v>
      </c>
      <c r="GB13" cm="1">
        <f t="array" ref="GB13">_xlfn.IFS(GB12="low risk",1,GB12="moderate risk",2,GB12="high risk",3)</f>
        <v>1</v>
      </c>
      <c r="GC13" cm="1">
        <f t="array" ref="GC13">_xlfn.IFS(GC12="low risk",1,GC12="moderate risk",2,GC12="high risk",3)</f>
        <v>3</v>
      </c>
      <c r="GD13" cm="1">
        <f t="array" ref="GD13">_xlfn.IFS(GD12="low risk",1,GD12="moderate risk",2,GD12="high risk",3)</f>
        <v>3</v>
      </c>
      <c r="GE13" cm="1">
        <f t="array" ref="GE13">_xlfn.IFS(GE12="low risk",1,GE12="moderate risk",2,GE12="high risk",3)</f>
        <v>2</v>
      </c>
      <c r="GF13" cm="1">
        <f t="array" ref="GF13">_xlfn.IFS(GF12="low risk",1,GF12="moderate risk",2,GF12="high risk",3)</f>
        <v>1</v>
      </c>
    </row>
    <row r="16" spans="1:188" x14ac:dyDescent="0.35">
      <c r="B16" t="s">
        <v>5</v>
      </c>
    </row>
    <row r="17" spans="2:2" x14ac:dyDescent="0.35">
      <c r="B17" t="str">
        <f>HLOOKUP(B16,A1:$GF$13,7,0)</f>
        <v>Asia</v>
      </c>
    </row>
  </sheetData>
  <conditionalFormatting sqref="B9:GF9">
    <cfRule type="cellIs" dxfId="0" priority="4" operator="greaterThan">
      <formula>5</formula>
    </cfRule>
  </conditionalFormatting>
  <conditionalFormatting sqref="B10:GF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GF11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{1434D7FC-AF3F-47ED-AF46-AAEBB0E7DA17}</x14:id>
        </ext>
      </extLst>
    </cfRule>
  </conditionalFormatting>
  <conditionalFormatting sqref="B13:GF13">
    <cfRule type="iconSet" priority="1">
      <iconSet iconSet="3Arrows" showValue="0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16" xr:uid="{77955057-C616-4C86-8B4F-65EE227E60AC}">
      <formula1>$B$1:$GF$1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34D7FC-AF3F-47ED-AF46-AAEBB0E7DA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B11:GF11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BFAE-C2CF-41E2-B6F1-4213CBB50CCC}">
  <dimension ref="A1:F43"/>
  <sheetViews>
    <sheetView workbookViewId="0">
      <selection activeCell="M49" sqref="M49"/>
    </sheetView>
  </sheetViews>
  <sheetFormatPr defaultRowHeight="18.5" x14ac:dyDescent="0.45"/>
  <cols>
    <col min="1" max="1" width="55.81640625" style="27" bestFit="1" customWidth="1"/>
    <col min="2" max="16384" width="8.7265625" style="27"/>
  </cols>
  <sheetData>
    <row r="1" spans="1:6" customFormat="1" ht="27" x14ac:dyDescent="0.5">
      <c r="A1" s="26" t="s">
        <v>228</v>
      </c>
    </row>
    <row r="2" spans="1:6" customFormat="1" ht="14.5" x14ac:dyDescent="0.35"/>
    <row r="3" spans="1:6" x14ac:dyDescent="0.45">
      <c r="A3" s="27" t="s">
        <v>229</v>
      </c>
    </row>
    <row r="4" spans="1:6" x14ac:dyDescent="0.45">
      <c r="A4" s="28" t="s">
        <v>227</v>
      </c>
    </row>
    <row r="6" spans="1:6" x14ac:dyDescent="0.45">
      <c r="A6" s="27" t="s">
        <v>230</v>
      </c>
    </row>
    <row r="7" spans="1:6" x14ac:dyDescent="0.45">
      <c r="A7" s="29" t="s">
        <v>187</v>
      </c>
      <c r="F7" s="29"/>
    </row>
    <row r="8" spans="1:6" x14ac:dyDescent="0.45">
      <c r="A8" s="29" t="s">
        <v>163</v>
      </c>
      <c r="F8" s="29"/>
    </row>
    <row r="9" spans="1:6" x14ac:dyDescent="0.45">
      <c r="A9" s="29" t="s">
        <v>127</v>
      </c>
      <c r="F9" s="29"/>
    </row>
    <row r="10" spans="1:6" x14ac:dyDescent="0.45">
      <c r="A10" s="29" t="s">
        <v>8</v>
      </c>
      <c r="F10" s="29"/>
    </row>
    <row r="11" spans="1:6" x14ac:dyDescent="0.45">
      <c r="A11" s="29" t="s">
        <v>173</v>
      </c>
      <c r="F11" s="29"/>
    </row>
    <row r="12" spans="1:6" x14ac:dyDescent="0.45">
      <c r="A12" s="29" t="s">
        <v>19</v>
      </c>
      <c r="F12" s="29"/>
    </row>
    <row r="13" spans="1:6" x14ac:dyDescent="0.45">
      <c r="A13" s="29" t="s">
        <v>115</v>
      </c>
      <c r="F13" s="29"/>
    </row>
    <row r="14" spans="1:6" x14ac:dyDescent="0.45">
      <c r="A14" s="29" t="s">
        <v>21</v>
      </c>
      <c r="F14" s="29"/>
    </row>
    <row r="15" spans="1:6" x14ac:dyDescent="0.45">
      <c r="A15" s="29" t="s">
        <v>156</v>
      </c>
      <c r="F15" s="29"/>
    </row>
    <row r="16" spans="1:6" x14ac:dyDescent="0.45">
      <c r="A16" s="29" t="s">
        <v>36</v>
      </c>
      <c r="F16" s="29"/>
    </row>
    <row r="17" spans="1:6" x14ac:dyDescent="0.45">
      <c r="A17" s="29" t="s">
        <v>166</v>
      </c>
      <c r="F17" s="29"/>
    </row>
    <row r="18" spans="1:6" x14ac:dyDescent="0.45">
      <c r="A18" s="29" t="s">
        <v>38</v>
      </c>
      <c r="F18" s="29"/>
    </row>
    <row r="19" spans="1:6" x14ac:dyDescent="0.45">
      <c r="A19" s="29" t="s">
        <v>186</v>
      </c>
      <c r="F19" s="29"/>
    </row>
    <row r="20" spans="1:6" x14ac:dyDescent="0.45">
      <c r="A20" s="29" t="s">
        <v>40</v>
      </c>
      <c r="F20" s="29"/>
    </row>
    <row r="21" spans="1:6" x14ac:dyDescent="0.45">
      <c r="A21" s="29" t="s">
        <v>102</v>
      </c>
      <c r="F21" s="29"/>
    </row>
    <row r="22" spans="1:6" x14ac:dyDescent="0.45">
      <c r="A22" s="29" t="s">
        <v>55</v>
      </c>
      <c r="F22" s="29"/>
    </row>
    <row r="23" spans="1:6" x14ac:dyDescent="0.45">
      <c r="A23" s="29" t="s">
        <v>124</v>
      </c>
      <c r="F23" s="29"/>
    </row>
    <row r="24" spans="1:6" x14ac:dyDescent="0.45">
      <c r="A24" s="29" t="s">
        <v>56</v>
      </c>
      <c r="F24" s="29"/>
    </row>
    <row r="25" spans="1:6" x14ac:dyDescent="0.45">
      <c r="A25" s="29" t="s">
        <v>147</v>
      </c>
      <c r="F25" s="29"/>
    </row>
    <row r="26" spans="1:6" x14ac:dyDescent="0.45">
      <c r="A26" s="29" t="s">
        <v>65</v>
      </c>
      <c r="F26" s="29"/>
    </row>
    <row r="27" spans="1:6" x14ac:dyDescent="0.45">
      <c r="A27" s="29" t="s">
        <v>161</v>
      </c>
      <c r="F27" s="29"/>
    </row>
    <row r="28" spans="1:6" x14ac:dyDescent="0.45">
      <c r="A28" s="29" t="s">
        <v>77</v>
      </c>
      <c r="F28" s="29"/>
    </row>
    <row r="29" spans="1:6" x14ac:dyDescent="0.45">
      <c r="A29" s="29" t="s">
        <v>165</v>
      </c>
      <c r="F29" s="29"/>
    </row>
    <row r="30" spans="1:6" x14ac:dyDescent="0.45">
      <c r="A30" s="29" t="s">
        <v>81</v>
      </c>
      <c r="F30" s="29"/>
    </row>
    <row r="31" spans="1:6" x14ac:dyDescent="0.45">
      <c r="A31" s="29" t="s">
        <v>167</v>
      </c>
      <c r="F31" s="29"/>
    </row>
    <row r="32" spans="1:6" x14ac:dyDescent="0.45">
      <c r="A32" s="29" t="s">
        <v>85</v>
      </c>
      <c r="F32" s="29"/>
    </row>
    <row r="33" spans="1:6" x14ac:dyDescent="0.45">
      <c r="A33" s="29" t="s">
        <v>87</v>
      </c>
      <c r="F33" s="29"/>
    </row>
    <row r="34" spans="1:6" x14ac:dyDescent="0.45">
      <c r="A34" s="29" t="s">
        <v>89</v>
      </c>
      <c r="F34" s="29"/>
    </row>
    <row r="35" spans="1:6" x14ac:dyDescent="0.45">
      <c r="A35" s="29"/>
      <c r="F35" s="29"/>
    </row>
    <row r="36" spans="1:6" x14ac:dyDescent="0.45">
      <c r="A36" s="27" t="s">
        <v>231</v>
      </c>
    </row>
    <row r="37" spans="1:6" x14ac:dyDescent="0.45">
      <c r="A37" s="28" t="s">
        <v>235</v>
      </c>
    </row>
    <row r="39" spans="1:6" x14ac:dyDescent="0.45">
      <c r="A39" s="27" t="s">
        <v>232</v>
      </c>
    </row>
    <row r="40" spans="1:6" x14ac:dyDescent="0.45">
      <c r="A40" s="28" t="s">
        <v>236</v>
      </c>
    </row>
    <row r="42" spans="1:6" x14ac:dyDescent="0.45">
      <c r="A42" s="27" t="s">
        <v>233</v>
      </c>
    </row>
    <row r="43" spans="1:6" x14ac:dyDescent="0.45">
      <c r="A43" s="28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solved </vt:lpstr>
      <vt:lpstr>column chart</vt:lpstr>
      <vt:lpstr>line chart</vt:lpstr>
      <vt:lpstr>pie chart</vt:lpstr>
      <vt:lpstr>combo chart</vt:lpstr>
      <vt:lpstr>hlookup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Mrinal Das</dc:creator>
  <cp:lastModifiedBy>vansh tanwar</cp:lastModifiedBy>
  <dcterms:created xsi:type="dcterms:W3CDTF">2025-07-17T13:38:16Z</dcterms:created>
  <dcterms:modified xsi:type="dcterms:W3CDTF">2026-05-19T08:36:28Z</dcterms:modified>
</cp:coreProperties>
</file>